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J:\Meu Drive\Profissional\Elétrica Profissional\1. Instalação elétrica\Residencial\Produzidos\Planilhas\"/>
    </mc:Choice>
  </mc:AlternateContent>
  <xr:revisionPtr revIDLastSave="0" documentId="13_ncr:1_{5C7B966F-112C-4681-847E-4D37D69A7125}" xr6:coauthVersionLast="47" xr6:coauthVersionMax="47" xr10:uidLastSave="{00000000-0000-0000-0000-000000000000}"/>
  <bookViews>
    <workbookView xWindow="20370" yWindow="-120" windowWidth="20730" windowHeight="11160" tabRatio="673" firstSheet="1" activeTab="7" xr2:uid="{00000000-000D-0000-FFFF-FFFF00000000}"/>
  </bookViews>
  <sheets>
    <sheet name="Dimensionamento cômodos" sheetId="1" r:id="rId1"/>
    <sheet name="Div. ckts" sheetId="3" r:id="rId2"/>
    <sheet name="Condutores" sheetId="9" r:id="rId3"/>
    <sheet name="Proteção" sheetId="5" r:id="rId4"/>
    <sheet name="Padrão de entrada" sheetId="6" r:id="rId5"/>
    <sheet name="Quantitativo" sheetId="7" r:id="rId6"/>
    <sheet name="Orçamento" sheetId="8" r:id="rId7"/>
    <sheet name="Sistema" sheetId="2" r:id="rId8"/>
  </sheets>
  <definedNames>
    <definedName name="_xlcn.WorksheetConnection_Cálculosmodelo2.1.xlsxTabela_Ckt_TUE" hidden="1">Tabela_Ckt_TUE[]</definedName>
    <definedName name="_xlcn.WorksheetConnection_Cálculosmodelo2.1.xlsxTabela_Ckt_TUG" hidden="1">Tabela_Ckt_TUG[]</definedName>
  </definedNames>
  <calcPr calcId="191029"/>
  <pivotCaches>
    <pivotCache cacheId="5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_Ckt_TUE" name="Tabela_Ckt_TUE" connection="WorksheetConnection_Cálculos modelo 2.1.xlsx!Tabela_Ckt_TUE"/>
          <x15:modelTable id="Tabela_Ckt_TUG" name="Tabela_Ckt_TUG" connection="WorksheetConnection_Cálculos modelo 2.1.xlsx!Tabela_Ckt_TU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3" l="1"/>
  <c r="O8" i="3"/>
  <c r="O9" i="3"/>
  <c r="O10" i="3"/>
  <c r="O11" i="3"/>
  <c r="O12" i="3"/>
  <c r="O13" i="3"/>
  <c r="O14" i="3"/>
  <c r="K7" i="3"/>
  <c r="K8" i="3"/>
  <c r="K9" i="3"/>
  <c r="K10" i="3"/>
  <c r="K11" i="3"/>
  <c r="K12" i="3"/>
  <c r="K13" i="3"/>
  <c r="K14" i="3"/>
  <c r="G5" i="3"/>
  <c r="G7" i="3"/>
  <c r="G9" i="3"/>
  <c r="G11" i="3"/>
  <c r="G13" i="3"/>
  <c r="H4" i="3"/>
  <c r="G4" i="3" s="1"/>
  <c r="H5" i="3"/>
  <c r="H6" i="3"/>
  <c r="G6" i="3" s="1"/>
  <c r="H7" i="3"/>
  <c r="H8" i="3"/>
  <c r="G8" i="3" s="1"/>
  <c r="H9" i="3"/>
  <c r="H10" i="3"/>
  <c r="G10" i="3" s="1"/>
  <c r="H11" i="3"/>
  <c r="H12" i="3"/>
  <c r="G12" i="3" s="1"/>
  <c r="H13" i="3"/>
  <c r="H14" i="3"/>
  <c r="G14" i="3" s="1"/>
  <c r="C6" i="9"/>
  <c r="D6" i="9" s="1"/>
  <c r="I6" i="9" s="1"/>
  <c r="E5" i="5" s="1"/>
  <c r="C7" i="9"/>
  <c r="D7" i="9" s="1"/>
  <c r="C8" i="9"/>
  <c r="D8" i="9" s="1"/>
  <c r="I8" i="9" s="1"/>
  <c r="E7" i="5" s="1"/>
  <c r="C9" i="9"/>
  <c r="D9" i="9" s="1"/>
  <c r="I9" i="9" s="1"/>
  <c r="E8" i="5" s="1"/>
  <c r="C10" i="9"/>
  <c r="D10" i="9" s="1"/>
  <c r="I10" i="9" s="1"/>
  <c r="E9" i="5" s="1"/>
  <c r="C11" i="9"/>
  <c r="D11" i="9" s="1"/>
  <c r="I11" i="9" s="1"/>
  <c r="E10" i="5" s="1"/>
  <c r="C12" i="9"/>
  <c r="D12" i="9" s="1"/>
  <c r="C13" i="9"/>
  <c r="D13" i="9" s="1"/>
  <c r="I13" i="9" s="1"/>
  <c r="E12" i="5" s="1"/>
  <c r="C14" i="9"/>
  <c r="D14" i="9" s="1"/>
  <c r="C15" i="9"/>
  <c r="D15" i="9" s="1"/>
  <c r="I15" i="9" s="1"/>
  <c r="E14" i="5" s="1"/>
  <c r="C16" i="9"/>
  <c r="D16" i="9" s="1"/>
  <c r="C17" i="9"/>
  <c r="D17" i="9" s="1"/>
  <c r="I17" i="9" s="1"/>
  <c r="E16" i="5" s="1"/>
  <c r="C18" i="9"/>
  <c r="D18" i="9" s="1"/>
  <c r="C19" i="9"/>
  <c r="D19" i="9" s="1"/>
  <c r="I19" i="9" s="1"/>
  <c r="E18" i="5" s="1"/>
  <c r="C20" i="9"/>
  <c r="D20" i="9" s="1"/>
  <c r="C21" i="9"/>
  <c r="D21" i="9" s="1"/>
  <c r="I21" i="9" s="1"/>
  <c r="E20" i="5" s="1"/>
  <c r="C22" i="9"/>
  <c r="D22" i="9" s="1"/>
  <c r="C23" i="9"/>
  <c r="D23" i="9" s="1"/>
  <c r="I23" i="9" s="1"/>
  <c r="E22" i="5" s="1"/>
  <c r="C24" i="9"/>
  <c r="D24" i="9" s="1"/>
  <c r="C25" i="9"/>
  <c r="D25" i="9" s="1"/>
  <c r="I25" i="9" s="1"/>
  <c r="E24" i="5" s="1"/>
  <c r="C26" i="9"/>
  <c r="D26" i="9" s="1"/>
  <c r="C27" i="9"/>
  <c r="D27" i="9" s="1"/>
  <c r="I27" i="9" s="1"/>
  <c r="E26" i="5" s="1"/>
  <c r="C28" i="9"/>
  <c r="D28" i="9" s="1"/>
  <c r="C29" i="9"/>
  <c r="D29" i="9" s="1"/>
  <c r="I29" i="9" s="1"/>
  <c r="E28" i="5" s="1"/>
  <c r="C30" i="9"/>
  <c r="D30" i="9" s="1"/>
  <c r="C31" i="9"/>
  <c r="D31" i="9" s="1"/>
  <c r="I31" i="9" s="1"/>
  <c r="E30" i="5" s="1"/>
  <c r="C32" i="9"/>
  <c r="D32" i="9" s="1"/>
  <c r="C33" i="9"/>
  <c r="D33" i="9" s="1"/>
  <c r="I33" i="9" s="1"/>
  <c r="E32" i="5" s="1"/>
  <c r="C34" i="9"/>
  <c r="D34" i="9" s="1"/>
  <c r="C35" i="9"/>
  <c r="D35" i="9" s="1"/>
  <c r="I35" i="9" s="1"/>
  <c r="E34" i="5" s="1"/>
  <c r="C36" i="9"/>
  <c r="D36" i="9" s="1"/>
  <c r="C37" i="9"/>
  <c r="D37" i="9" s="1"/>
  <c r="I37" i="9" s="1"/>
  <c r="E36" i="5" s="1"/>
  <c r="C38" i="9"/>
  <c r="D38" i="9" s="1"/>
  <c r="C39" i="9"/>
  <c r="D39" i="9" s="1"/>
  <c r="I39" i="9" s="1"/>
  <c r="E38" i="5" s="1"/>
  <c r="C40" i="9"/>
  <c r="D40" i="9" s="1"/>
  <c r="C41" i="9"/>
  <c r="D41" i="9" s="1"/>
  <c r="I41" i="9" s="1"/>
  <c r="E40" i="5" s="1"/>
  <c r="C42" i="9"/>
  <c r="D42" i="9" s="1"/>
  <c r="C43" i="9"/>
  <c r="D43" i="9" s="1"/>
  <c r="I43" i="9" s="1"/>
  <c r="E42" i="5" s="1"/>
  <c r="C44" i="9"/>
  <c r="D44" i="9" s="1"/>
  <c r="C45" i="9"/>
  <c r="D45" i="9" s="1"/>
  <c r="I45" i="9" s="1"/>
  <c r="E44" i="5" s="1"/>
  <c r="C46" i="9"/>
  <c r="D46" i="9" s="1"/>
  <c r="C47" i="9"/>
  <c r="D47" i="9" s="1"/>
  <c r="I47" i="9" s="1"/>
  <c r="E46" i="5" s="1"/>
  <c r="C48" i="9"/>
  <c r="D48" i="9" s="1"/>
  <c r="C49" i="9"/>
  <c r="D49" i="9" s="1"/>
  <c r="I49" i="9" s="1"/>
  <c r="E48" i="5" s="1"/>
  <c r="C50" i="9"/>
  <c r="D50" i="9" s="1"/>
  <c r="C51" i="9"/>
  <c r="D51" i="9" s="1"/>
  <c r="I51" i="9" s="1"/>
  <c r="E50" i="5" s="1"/>
  <c r="C52" i="9"/>
  <c r="D52" i="9" s="1"/>
  <c r="C53" i="9"/>
  <c r="D53" i="9" s="1"/>
  <c r="I53" i="9" s="1"/>
  <c r="E52" i="5" s="1"/>
  <c r="C54" i="9"/>
  <c r="D54" i="9" s="1"/>
  <c r="C55" i="9"/>
  <c r="D55" i="9" s="1"/>
  <c r="I55" i="9" s="1"/>
  <c r="E54" i="5" s="1"/>
  <c r="C56" i="9"/>
  <c r="D56" i="9" s="1"/>
  <c r="C57" i="9"/>
  <c r="D57" i="9" s="1"/>
  <c r="I57" i="9" s="1"/>
  <c r="E56" i="5" s="1"/>
  <c r="C58" i="9"/>
  <c r="D58" i="9" s="1"/>
  <c r="C59" i="9"/>
  <c r="D59" i="9" s="1"/>
  <c r="I59" i="9" s="1"/>
  <c r="E58" i="5" s="1"/>
  <c r="C60" i="9"/>
  <c r="D60" i="9" s="1"/>
  <c r="C61" i="9"/>
  <c r="D61" i="9" s="1"/>
  <c r="I61" i="9" s="1"/>
  <c r="E60" i="5" s="1"/>
  <c r="C62" i="9"/>
  <c r="D62" i="9" s="1"/>
  <c r="C63" i="9"/>
  <c r="D63" i="9" s="1"/>
  <c r="I63" i="9" s="1"/>
  <c r="E62" i="5" s="1"/>
  <c r="C64" i="9"/>
  <c r="D64" i="9" s="1"/>
  <c r="C65" i="9"/>
  <c r="D65" i="9" s="1"/>
  <c r="I65" i="9" s="1"/>
  <c r="E64" i="5" s="1"/>
  <c r="C66" i="9"/>
  <c r="D66" i="9" s="1"/>
  <c r="C67" i="9"/>
  <c r="D67" i="9" s="1"/>
  <c r="I67" i="9" s="1"/>
  <c r="E66" i="5" s="1"/>
  <c r="C68" i="9"/>
  <c r="D68" i="9" s="1"/>
  <c r="C69" i="9"/>
  <c r="D69" i="9" s="1"/>
  <c r="I69" i="9" s="1"/>
  <c r="E68" i="5" s="1"/>
  <c r="C70" i="9"/>
  <c r="D70" i="9" s="1"/>
  <c r="C71" i="9"/>
  <c r="D71" i="9" s="1"/>
  <c r="I71" i="9" s="1"/>
  <c r="E70" i="5" s="1"/>
  <c r="C72" i="9"/>
  <c r="D72" i="9" s="1"/>
  <c r="C73" i="9"/>
  <c r="D73" i="9" s="1"/>
  <c r="I73" i="9" s="1"/>
  <c r="E72" i="5" s="1"/>
  <c r="C74" i="9"/>
  <c r="D74" i="9" s="1"/>
  <c r="C75" i="9"/>
  <c r="D75" i="9" s="1"/>
  <c r="I75" i="9" s="1"/>
  <c r="E74" i="5" s="1"/>
  <c r="C76" i="9"/>
  <c r="D76" i="9" s="1"/>
  <c r="C77" i="9"/>
  <c r="D77" i="9" s="1"/>
  <c r="I77" i="9" s="1"/>
  <c r="E76" i="5" s="1"/>
  <c r="C78" i="9"/>
  <c r="D78" i="9" s="1"/>
  <c r="C79" i="9"/>
  <c r="D79" i="9" s="1"/>
  <c r="I79" i="9" s="1"/>
  <c r="E78" i="5" s="1"/>
  <c r="C80" i="9"/>
  <c r="D80" i="9" s="1"/>
  <c r="C81" i="9"/>
  <c r="D81" i="9" s="1"/>
  <c r="I81" i="9" s="1"/>
  <c r="E80" i="5" s="1"/>
  <c r="C82" i="9"/>
  <c r="D82" i="9" s="1"/>
  <c r="C83" i="9"/>
  <c r="D83" i="9" s="1"/>
  <c r="I83" i="9" s="1"/>
  <c r="E82" i="5" s="1"/>
  <c r="C84" i="9"/>
  <c r="D84" i="9" s="1"/>
  <c r="C85" i="9"/>
  <c r="D85" i="9" s="1"/>
  <c r="I85" i="9" s="1"/>
  <c r="E84" i="5" s="1"/>
  <c r="C86" i="9"/>
  <c r="D86" i="9" s="1"/>
  <c r="C87" i="9"/>
  <c r="D87" i="9" s="1"/>
  <c r="I87" i="9" s="1"/>
  <c r="E86" i="5" s="1"/>
  <c r="C88" i="9"/>
  <c r="D88" i="9" s="1"/>
  <c r="C89" i="9"/>
  <c r="D89" i="9" s="1"/>
  <c r="I89" i="9" s="1"/>
  <c r="E88" i="5" s="1"/>
  <c r="C90" i="9"/>
  <c r="D90" i="9" s="1"/>
  <c r="C91" i="9"/>
  <c r="D91" i="9" s="1"/>
  <c r="I91" i="9" s="1"/>
  <c r="E90" i="5" s="1"/>
  <c r="C92" i="9"/>
  <c r="D92" i="9" s="1"/>
  <c r="C93" i="9"/>
  <c r="D93" i="9" s="1"/>
  <c r="I93" i="9" s="1"/>
  <c r="E92" i="5" s="1"/>
  <c r="C94" i="9"/>
  <c r="D94" i="9" s="1"/>
  <c r="C95" i="9"/>
  <c r="D95" i="9" s="1"/>
  <c r="I95" i="9" s="1"/>
  <c r="E94" i="5" s="1"/>
  <c r="C96" i="9"/>
  <c r="D96" i="9" s="1"/>
  <c r="C97" i="9"/>
  <c r="D97" i="9" s="1"/>
  <c r="I97" i="9" s="1"/>
  <c r="E96" i="5" s="1"/>
  <c r="C98" i="9"/>
  <c r="D98" i="9" s="1"/>
  <c r="C99" i="9"/>
  <c r="D99" i="9" s="1"/>
  <c r="I99" i="9" s="1"/>
  <c r="E98" i="5" s="1"/>
  <c r="C100" i="9"/>
  <c r="D100" i="9" s="1"/>
  <c r="C101" i="9"/>
  <c r="D101" i="9" s="1"/>
  <c r="I101" i="9" s="1"/>
  <c r="E100" i="5" s="1"/>
  <c r="C102" i="9"/>
  <c r="D102" i="9" s="1"/>
  <c r="C103" i="9"/>
  <c r="D103" i="9" s="1"/>
  <c r="I103" i="9" s="1"/>
  <c r="E102" i="5" s="1"/>
  <c r="C104" i="9"/>
  <c r="D104" i="9" s="1"/>
  <c r="C105" i="9"/>
  <c r="D105" i="9" s="1"/>
  <c r="I105" i="9" s="1"/>
  <c r="E104" i="5" s="1"/>
  <c r="C106" i="9"/>
  <c r="D106" i="9" s="1"/>
  <c r="C107" i="9"/>
  <c r="D107" i="9" s="1"/>
  <c r="I107" i="9" s="1"/>
  <c r="E106" i="5" s="1"/>
  <c r="C108" i="9"/>
  <c r="D108" i="9" s="1"/>
  <c r="C109" i="9"/>
  <c r="D109" i="9" s="1"/>
  <c r="I109" i="9" s="1"/>
  <c r="E108" i="5" s="1"/>
  <c r="C110" i="9"/>
  <c r="D110" i="9" s="1"/>
  <c r="C111" i="9"/>
  <c r="D111" i="9" s="1"/>
  <c r="I111" i="9" s="1"/>
  <c r="E110" i="5" s="1"/>
  <c r="C112" i="9"/>
  <c r="D112" i="9" s="1"/>
  <c r="C113" i="9"/>
  <c r="D113" i="9" s="1"/>
  <c r="I113" i="9" s="1"/>
  <c r="E112" i="5" s="1"/>
  <c r="C114" i="9"/>
  <c r="D114" i="9" s="1"/>
  <c r="C115" i="9"/>
  <c r="D115" i="9" s="1"/>
  <c r="I115" i="9" s="1"/>
  <c r="E114" i="5" s="1"/>
  <c r="C116" i="9"/>
  <c r="D116" i="9" s="1"/>
  <c r="C117" i="9"/>
  <c r="D117" i="9" s="1"/>
  <c r="I117" i="9" s="1"/>
  <c r="E116" i="5" s="1"/>
  <c r="C118" i="9"/>
  <c r="D118" i="9" s="1"/>
  <c r="C119" i="9"/>
  <c r="D119" i="9" s="1"/>
  <c r="I119" i="9" s="1"/>
  <c r="E118" i="5" s="1"/>
  <c r="C120" i="9"/>
  <c r="D120" i="9" s="1"/>
  <c r="C121" i="9"/>
  <c r="D121" i="9" s="1"/>
  <c r="I121" i="9" s="1"/>
  <c r="E120" i="5" s="1"/>
  <c r="C122" i="9"/>
  <c r="D122" i="9" s="1"/>
  <c r="C123" i="9"/>
  <c r="D123" i="9" s="1"/>
  <c r="I123" i="9" s="1"/>
  <c r="E122" i="5" s="1"/>
  <c r="C124" i="9"/>
  <c r="D124" i="9" s="1"/>
  <c r="C125" i="9"/>
  <c r="D125" i="9" s="1"/>
  <c r="I125" i="9" s="1"/>
  <c r="E124" i="5" s="1"/>
  <c r="C126" i="9"/>
  <c r="D126" i="9" s="1"/>
  <c r="C127" i="9"/>
  <c r="D127" i="9" s="1"/>
  <c r="I127" i="9" s="1"/>
  <c r="E126" i="5" s="1"/>
  <c r="C128" i="9"/>
  <c r="D128" i="9" s="1"/>
  <c r="C129" i="9"/>
  <c r="D129" i="9" s="1"/>
  <c r="I129" i="9" s="1"/>
  <c r="E128" i="5" s="1"/>
  <c r="C130" i="9"/>
  <c r="D130" i="9" s="1"/>
  <c r="C131" i="9"/>
  <c r="D131" i="9" s="1"/>
  <c r="I131" i="9" s="1"/>
  <c r="E130" i="5" s="1"/>
  <c r="C132" i="9"/>
  <c r="D132" i="9" s="1"/>
  <c r="C133" i="9"/>
  <c r="D133" i="9" s="1"/>
  <c r="I133" i="9" s="1"/>
  <c r="E132" i="5" s="1"/>
  <c r="C134" i="9"/>
  <c r="D134" i="9" s="1"/>
  <c r="C135" i="9"/>
  <c r="D135" i="9" s="1"/>
  <c r="I135" i="9" s="1"/>
  <c r="E134" i="5" s="1"/>
  <c r="C5" i="9"/>
  <c r="D5" i="9" s="1"/>
  <c r="I5" i="9" s="1"/>
  <c r="E4" i="5" s="1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5" i="9"/>
  <c r="B196" i="8"/>
  <c r="B195" i="8"/>
  <c r="B194" i="8"/>
  <c r="B193" i="8"/>
  <c r="B192" i="8"/>
  <c r="B191" i="8"/>
  <c r="B190" i="8"/>
  <c r="B189" i="8"/>
  <c r="B188" i="8"/>
  <c r="B187" i="8"/>
  <c r="R133" i="9" l="1"/>
  <c r="S133" i="9" s="1"/>
  <c r="D132" i="5" s="1"/>
  <c r="R125" i="9"/>
  <c r="S125" i="9" s="1"/>
  <c r="D124" i="5" s="1"/>
  <c r="R117" i="9"/>
  <c r="S117" i="9" s="1"/>
  <c r="D116" i="5" s="1"/>
  <c r="R109" i="9"/>
  <c r="S109" i="9" s="1"/>
  <c r="D108" i="5" s="1"/>
  <c r="R101" i="9"/>
  <c r="S101" i="9" s="1"/>
  <c r="D100" i="5" s="1"/>
  <c r="R93" i="9"/>
  <c r="S93" i="9" s="1"/>
  <c r="D92" i="5" s="1"/>
  <c r="R85" i="9"/>
  <c r="S85" i="9" s="1"/>
  <c r="D84" i="5" s="1"/>
  <c r="R77" i="9"/>
  <c r="S77" i="9" s="1"/>
  <c r="D76" i="5" s="1"/>
  <c r="R69" i="9"/>
  <c r="S69" i="9" s="1"/>
  <c r="D68" i="5" s="1"/>
  <c r="R61" i="9"/>
  <c r="S61" i="9" s="1"/>
  <c r="D60" i="5" s="1"/>
  <c r="R53" i="9"/>
  <c r="S53" i="9" s="1"/>
  <c r="D52" i="5" s="1"/>
  <c r="R45" i="9"/>
  <c r="S45" i="9" s="1"/>
  <c r="D44" i="5" s="1"/>
  <c r="R37" i="9"/>
  <c r="S37" i="9" s="1"/>
  <c r="D36" i="5" s="1"/>
  <c r="R29" i="9"/>
  <c r="S29" i="9" s="1"/>
  <c r="D28" i="5" s="1"/>
  <c r="R21" i="9"/>
  <c r="S21" i="9" s="1"/>
  <c r="D20" i="5" s="1"/>
  <c r="R13" i="9"/>
  <c r="S13" i="9" s="1"/>
  <c r="D12" i="5" s="1"/>
  <c r="R129" i="9"/>
  <c r="S129" i="9" s="1"/>
  <c r="D128" i="5" s="1"/>
  <c r="R121" i="9"/>
  <c r="S121" i="9" s="1"/>
  <c r="D120" i="5" s="1"/>
  <c r="R113" i="9"/>
  <c r="S113" i="9" s="1"/>
  <c r="D112" i="5" s="1"/>
  <c r="R105" i="9"/>
  <c r="S105" i="9" s="1"/>
  <c r="D104" i="5" s="1"/>
  <c r="R97" i="9"/>
  <c r="S97" i="9" s="1"/>
  <c r="D96" i="5" s="1"/>
  <c r="R89" i="9"/>
  <c r="S89" i="9" s="1"/>
  <c r="D88" i="5" s="1"/>
  <c r="R81" i="9"/>
  <c r="S81" i="9" s="1"/>
  <c r="D80" i="5" s="1"/>
  <c r="R73" i="9"/>
  <c r="S73" i="9" s="1"/>
  <c r="D72" i="5" s="1"/>
  <c r="R65" i="9"/>
  <c r="S65" i="9" s="1"/>
  <c r="D64" i="5" s="1"/>
  <c r="R57" i="9"/>
  <c r="S57" i="9" s="1"/>
  <c r="D56" i="5" s="1"/>
  <c r="R49" i="9"/>
  <c r="S49" i="9" s="1"/>
  <c r="D48" i="5" s="1"/>
  <c r="R41" i="9"/>
  <c r="S41" i="9" s="1"/>
  <c r="D40" i="5" s="1"/>
  <c r="R33" i="9"/>
  <c r="S33" i="9" s="1"/>
  <c r="D32" i="5" s="1"/>
  <c r="R25" i="9"/>
  <c r="S25" i="9" s="1"/>
  <c r="D24" i="5" s="1"/>
  <c r="R17" i="9"/>
  <c r="S17" i="9" s="1"/>
  <c r="D16" i="5" s="1"/>
  <c r="I134" i="9"/>
  <c r="E133" i="5" s="1"/>
  <c r="R134" i="9"/>
  <c r="S134" i="9" s="1"/>
  <c r="D133" i="5" s="1"/>
  <c r="I132" i="9"/>
  <c r="E131" i="5" s="1"/>
  <c r="R132" i="9"/>
  <c r="S132" i="9" s="1"/>
  <c r="D131" i="5" s="1"/>
  <c r="I130" i="9"/>
  <c r="E129" i="5" s="1"/>
  <c r="R130" i="9"/>
  <c r="S130" i="9" s="1"/>
  <c r="D129" i="5" s="1"/>
  <c r="I128" i="9"/>
  <c r="E127" i="5" s="1"/>
  <c r="R128" i="9"/>
  <c r="S128" i="9" s="1"/>
  <c r="D127" i="5" s="1"/>
  <c r="I126" i="9"/>
  <c r="E125" i="5" s="1"/>
  <c r="R126" i="9"/>
  <c r="S126" i="9" s="1"/>
  <c r="D125" i="5" s="1"/>
  <c r="I124" i="9"/>
  <c r="E123" i="5" s="1"/>
  <c r="R124" i="9"/>
  <c r="S124" i="9" s="1"/>
  <c r="D123" i="5" s="1"/>
  <c r="I122" i="9"/>
  <c r="E121" i="5" s="1"/>
  <c r="R122" i="9"/>
  <c r="S122" i="9" s="1"/>
  <c r="D121" i="5" s="1"/>
  <c r="I120" i="9"/>
  <c r="E119" i="5" s="1"/>
  <c r="R120" i="9"/>
  <c r="S120" i="9" s="1"/>
  <c r="D119" i="5" s="1"/>
  <c r="I118" i="9"/>
  <c r="E117" i="5" s="1"/>
  <c r="R118" i="9"/>
  <c r="S118" i="9" s="1"/>
  <c r="D117" i="5" s="1"/>
  <c r="I116" i="9"/>
  <c r="E115" i="5" s="1"/>
  <c r="R116" i="9"/>
  <c r="S116" i="9" s="1"/>
  <c r="D115" i="5" s="1"/>
  <c r="I114" i="9"/>
  <c r="E113" i="5" s="1"/>
  <c r="R114" i="9"/>
  <c r="S114" i="9" s="1"/>
  <c r="D113" i="5" s="1"/>
  <c r="I112" i="9"/>
  <c r="E111" i="5" s="1"/>
  <c r="R112" i="9"/>
  <c r="S112" i="9" s="1"/>
  <c r="D111" i="5" s="1"/>
  <c r="I110" i="9"/>
  <c r="E109" i="5" s="1"/>
  <c r="R110" i="9"/>
  <c r="S110" i="9" s="1"/>
  <c r="D109" i="5" s="1"/>
  <c r="I108" i="9"/>
  <c r="E107" i="5" s="1"/>
  <c r="R108" i="9"/>
  <c r="S108" i="9" s="1"/>
  <c r="D107" i="5" s="1"/>
  <c r="I106" i="9"/>
  <c r="E105" i="5" s="1"/>
  <c r="R106" i="9"/>
  <c r="S106" i="9" s="1"/>
  <c r="D105" i="5" s="1"/>
  <c r="I104" i="9"/>
  <c r="E103" i="5" s="1"/>
  <c r="R104" i="9"/>
  <c r="S104" i="9" s="1"/>
  <c r="D103" i="5" s="1"/>
  <c r="I102" i="9"/>
  <c r="E101" i="5" s="1"/>
  <c r="R102" i="9"/>
  <c r="S102" i="9" s="1"/>
  <c r="D101" i="5" s="1"/>
  <c r="I100" i="9"/>
  <c r="E99" i="5" s="1"/>
  <c r="R100" i="9"/>
  <c r="S100" i="9" s="1"/>
  <c r="D99" i="5" s="1"/>
  <c r="I98" i="9"/>
  <c r="E97" i="5" s="1"/>
  <c r="R98" i="9"/>
  <c r="S98" i="9" s="1"/>
  <c r="D97" i="5" s="1"/>
  <c r="I96" i="9"/>
  <c r="E95" i="5" s="1"/>
  <c r="R96" i="9"/>
  <c r="S96" i="9" s="1"/>
  <c r="D95" i="5" s="1"/>
  <c r="I94" i="9"/>
  <c r="E93" i="5" s="1"/>
  <c r="R94" i="9"/>
  <c r="S94" i="9" s="1"/>
  <c r="D93" i="5" s="1"/>
  <c r="I92" i="9"/>
  <c r="E91" i="5" s="1"/>
  <c r="R92" i="9"/>
  <c r="S92" i="9" s="1"/>
  <c r="D91" i="5" s="1"/>
  <c r="I90" i="9"/>
  <c r="E89" i="5" s="1"/>
  <c r="R90" i="9"/>
  <c r="S90" i="9" s="1"/>
  <c r="D89" i="5" s="1"/>
  <c r="I88" i="9"/>
  <c r="E87" i="5" s="1"/>
  <c r="R88" i="9"/>
  <c r="S88" i="9" s="1"/>
  <c r="D87" i="5" s="1"/>
  <c r="I86" i="9"/>
  <c r="E85" i="5" s="1"/>
  <c r="R86" i="9"/>
  <c r="S86" i="9" s="1"/>
  <c r="D85" i="5" s="1"/>
  <c r="I84" i="9"/>
  <c r="E83" i="5" s="1"/>
  <c r="R84" i="9"/>
  <c r="S84" i="9" s="1"/>
  <c r="D83" i="5" s="1"/>
  <c r="I82" i="9"/>
  <c r="E81" i="5" s="1"/>
  <c r="R82" i="9"/>
  <c r="S82" i="9" s="1"/>
  <c r="D81" i="5" s="1"/>
  <c r="I80" i="9"/>
  <c r="E79" i="5" s="1"/>
  <c r="R80" i="9"/>
  <c r="S80" i="9" s="1"/>
  <c r="D79" i="5" s="1"/>
  <c r="I78" i="9"/>
  <c r="E77" i="5" s="1"/>
  <c r="R78" i="9"/>
  <c r="S78" i="9" s="1"/>
  <c r="D77" i="5" s="1"/>
  <c r="I76" i="9"/>
  <c r="E75" i="5" s="1"/>
  <c r="R76" i="9"/>
  <c r="S76" i="9" s="1"/>
  <c r="D75" i="5" s="1"/>
  <c r="I74" i="9"/>
  <c r="E73" i="5" s="1"/>
  <c r="R74" i="9"/>
  <c r="S74" i="9" s="1"/>
  <c r="D73" i="5" s="1"/>
  <c r="I72" i="9"/>
  <c r="E71" i="5" s="1"/>
  <c r="R72" i="9"/>
  <c r="S72" i="9" s="1"/>
  <c r="D71" i="5" s="1"/>
  <c r="I70" i="9"/>
  <c r="E69" i="5" s="1"/>
  <c r="R70" i="9"/>
  <c r="S70" i="9" s="1"/>
  <c r="D69" i="5" s="1"/>
  <c r="I68" i="9"/>
  <c r="E67" i="5" s="1"/>
  <c r="R68" i="9"/>
  <c r="S68" i="9" s="1"/>
  <c r="D67" i="5" s="1"/>
  <c r="I66" i="9"/>
  <c r="E65" i="5" s="1"/>
  <c r="R66" i="9"/>
  <c r="S66" i="9" s="1"/>
  <c r="D65" i="5" s="1"/>
  <c r="I64" i="9"/>
  <c r="E63" i="5" s="1"/>
  <c r="R64" i="9"/>
  <c r="S64" i="9" s="1"/>
  <c r="D63" i="5" s="1"/>
  <c r="I62" i="9"/>
  <c r="E61" i="5" s="1"/>
  <c r="R62" i="9"/>
  <c r="S62" i="9" s="1"/>
  <c r="D61" i="5" s="1"/>
  <c r="I60" i="9"/>
  <c r="E59" i="5" s="1"/>
  <c r="R60" i="9"/>
  <c r="S60" i="9" s="1"/>
  <c r="D59" i="5" s="1"/>
  <c r="I58" i="9"/>
  <c r="E57" i="5" s="1"/>
  <c r="R58" i="9"/>
  <c r="S58" i="9" s="1"/>
  <c r="D57" i="5" s="1"/>
  <c r="I56" i="9"/>
  <c r="E55" i="5" s="1"/>
  <c r="R56" i="9"/>
  <c r="S56" i="9" s="1"/>
  <c r="D55" i="5" s="1"/>
  <c r="I54" i="9"/>
  <c r="E53" i="5" s="1"/>
  <c r="R54" i="9"/>
  <c r="S54" i="9" s="1"/>
  <c r="D53" i="5" s="1"/>
  <c r="I52" i="9"/>
  <c r="E51" i="5" s="1"/>
  <c r="R52" i="9"/>
  <c r="S52" i="9" s="1"/>
  <c r="D51" i="5" s="1"/>
  <c r="I50" i="9"/>
  <c r="E49" i="5" s="1"/>
  <c r="R50" i="9"/>
  <c r="S50" i="9" s="1"/>
  <c r="D49" i="5" s="1"/>
  <c r="I48" i="9"/>
  <c r="E47" i="5" s="1"/>
  <c r="R48" i="9"/>
  <c r="S48" i="9" s="1"/>
  <c r="D47" i="5" s="1"/>
  <c r="I46" i="9"/>
  <c r="E45" i="5" s="1"/>
  <c r="R46" i="9"/>
  <c r="S46" i="9" s="1"/>
  <c r="D45" i="5" s="1"/>
  <c r="I44" i="9"/>
  <c r="E43" i="5" s="1"/>
  <c r="R44" i="9"/>
  <c r="S44" i="9" s="1"/>
  <c r="D43" i="5" s="1"/>
  <c r="I42" i="9"/>
  <c r="E41" i="5" s="1"/>
  <c r="R42" i="9"/>
  <c r="S42" i="9" s="1"/>
  <c r="D41" i="5" s="1"/>
  <c r="I40" i="9"/>
  <c r="E39" i="5" s="1"/>
  <c r="R40" i="9"/>
  <c r="S40" i="9" s="1"/>
  <c r="D39" i="5" s="1"/>
  <c r="I38" i="9"/>
  <c r="E37" i="5" s="1"/>
  <c r="R38" i="9"/>
  <c r="S38" i="9" s="1"/>
  <c r="D37" i="5" s="1"/>
  <c r="I36" i="9"/>
  <c r="E35" i="5" s="1"/>
  <c r="R36" i="9"/>
  <c r="S36" i="9" s="1"/>
  <c r="D35" i="5" s="1"/>
  <c r="I34" i="9"/>
  <c r="E33" i="5" s="1"/>
  <c r="R34" i="9"/>
  <c r="S34" i="9" s="1"/>
  <c r="D33" i="5" s="1"/>
  <c r="I32" i="9"/>
  <c r="E31" i="5" s="1"/>
  <c r="R32" i="9"/>
  <c r="S32" i="9" s="1"/>
  <c r="D31" i="5" s="1"/>
  <c r="I30" i="9"/>
  <c r="E29" i="5" s="1"/>
  <c r="R30" i="9"/>
  <c r="S30" i="9" s="1"/>
  <c r="D29" i="5" s="1"/>
  <c r="I28" i="9"/>
  <c r="E27" i="5" s="1"/>
  <c r="R28" i="9"/>
  <c r="S28" i="9" s="1"/>
  <c r="D27" i="5" s="1"/>
  <c r="I26" i="9"/>
  <c r="E25" i="5" s="1"/>
  <c r="R26" i="9"/>
  <c r="S26" i="9" s="1"/>
  <c r="D25" i="5" s="1"/>
  <c r="I24" i="9"/>
  <c r="E23" i="5" s="1"/>
  <c r="R24" i="9"/>
  <c r="S24" i="9" s="1"/>
  <c r="D23" i="5" s="1"/>
  <c r="I22" i="9"/>
  <c r="E21" i="5" s="1"/>
  <c r="R22" i="9"/>
  <c r="S22" i="9" s="1"/>
  <c r="D21" i="5" s="1"/>
  <c r="I20" i="9"/>
  <c r="E19" i="5" s="1"/>
  <c r="R20" i="9"/>
  <c r="S20" i="9" s="1"/>
  <c r="D19" i="5" s="1"/>
  <c r="I18" i="9"/>
  <c r="E17" i="5" s="1"/>
  <c r="R18" i="9"/>
  <c r="S18" i="9" s="1"/>
  <c r="D17" i="5" s="1"/>
  <c r="I16" i="9"/>
  <c r="E15" i="5" s="1"/>
  <c r="R16" i="9"/>
  <c r="S16" i="9" s="1"/>
  <c r="D15" i="5" s="1"/>
  <c r="I14" i="9"/>
  <c r="E13" i="5" s="1"/>
  <c r="R14" i="9"/>
  <c r="S14" i="9" s="1"/>
  <c r="D13" i="5" s="1"/>
  <c r="I12" i="9"/>
  <c r="E11" i="5" s="1"/>
  <c r="R12" i="9"/>
  <c r="S12" i="9" s="1"/>
  <c r="D11" i="5" s="1"/>
  <c r="R6" i="9"/>
  <c r="S6" i="9" s="1"/>
  <c r="D5" i="5" s="1"/>
  <c r="I7" i="9"/>
  <c r="E6" i="5" s="1"/>
  <c r="R7" i="9"/>
  <c r="S7" i="9" s="1"/>
  <c r="D6" i="5" s="1"/>
  <c r="R135" i="9"/>
  <c r="S135" i="9" s="1"/>
  <c r="D134" i="5" s="1"/>
  <c r="R131" i="9"/>
  <c r="S131" i="9" s="1"/>
  <c r="D130" i="5" s="1"/>
  <c r="R127" i="9"/>
  <c r="S127" i="9" s="1"/>
  <c r="D126" i="5" s="1"/>
  <c r="R123" i="9"/>
  <c r="S123" i="9" s="1"/>
  <c r="D122" i="5" s="1"/>
  <c r="R119" i="9"/>
  <c r="S119" i="9" s="1"/>
  <c r="D118" i="5" s="1"/>
  <c r="R115" i="9"/>
  <c r="S115" i="9" s="1"/>
  <c r="D114" i="5" s="1"/>
  <c r="R111" i="9"/>
  <c r="S111" i="9" s="1"/>
  <c r="D110" i="5" s="1"/>
  <c r="R107" i="9"/>
  <c r="S107" i="9" s="1"/>
  <c r="D106" i="5" s="1"/>
  <c r="R103" i="9"/>
  <c r="S103" i="9" s="1"/>
  <c r="D102" i="5" s="1"/>
  <c r="R99" i="9"/>
  <c r="S99" i="9" s="1"/>
  <c r="D98" i="5" s="1"/>
  <c r="R95" i="9"/>
  <c r="S95" i="9" s="1"/>
  <c r="D94" i="5" s="1"/>
  <c r="R91" i="9"/>
  <c r="S91" i="9" s="1"/>
  <c r="D90" i="5" s="1"/>
  <c r="R87" i="9"/>
  <c r="S87" i="9" s="1"/>
  <c r="D86" i="5" s="1"/>
  <c r="R83" i="9"/>
  <c r="S83" i="9" s="1"/>
  <c r="D82" i="5" s="1"/>
  <c r="R79" i="9"/>
  <c r="S79" i="9" s="1"/>
  <c r="D78" i="5" s="1"/>
  <c r="R75" i="9"/>
  <c r="S75" i="9" s="1"/>
  <c r="D74" i="5" s="1"/>
  <c r="R71" i="9"/>
  <c r="S71" i="9" s="1"/>
  <c r="D70" i="5" s="1"/>
  <c r="R67" i="9"/>
  <c r="S67" i="9" s="1"/>
  <c r="D66" i="5" s="1"/>
  <c r="R63" i="9"/>
  <c r="S63" i="9" s="1"/>
  <c r="D62" i="5" s="1"/>
  <c r="R59" i="9"/>
  <c r="S59" i="9" s="1"/>
  <c r="D58" i="5" s="1"/>
  <c r="R55" i="9"/>
  <c r="S55" i="9" s="1"/>
  <c r="D54" i="5" s="1"/>
  <c r="R51" i="9"/>
  <c r="S51" i="9" s="1"/>
  <c r="D50" i="5" s="1"/>
  <c r="R47" i="9"/>
  <c r="S47" i="9" s="1"/>
  <c r="D46" i="5" s="1"/>
  <c r="R43" i="9"/>
  <c r="S43" i="9" s="1"/>
  <c r="D42" i="5" s="1"/>
  <c r="R39" i="9"/>
  <c r="S39" i="9" s="1"/>
  <c r="D38" i="5" s="1"/>
  <c r="R35" i="9"/>
  <c r="S35" i="9" s="1"/>
  <c r="D34" i="5" s="1"/>
  <c r="R31" i="9"/>
  <c r="S31" i="9" s="1"/>
  <c r="D30" i="5" s="1"/>
  <c r="R27" i="9"/>
  <c r="S27" i="9" s="1"/>
  <c r="D26" i="5" s="1"/>
  <c r="R23" i="9"/>
  <c r="S23" i="9" s="1"/>
  <c r="D22" i="5" s="1"/>
  <c r="R19" i="9"/>
  <c r="S19" i="9" s="1"/>
  <c r="D18" i="5" s="1"/>
  <c r="R15" i="9"/>
  <c r="S15" i="9" s="1"/>
  <c r="D14" i="5" s="1"/>
  <c r="R11" i="9"/>
  <c r="S11" i="9" s="1"/>
  <c r="D10" i="5" s="1"/>
  <c r="R10" i="9"/>
  <c r="S10" i="9" s="1"/>
  <c r="D9" i="5" s="1"/>
  <c r="R9" i="9"/>
  <c r="S9" i="9" s="1"/>
  <c r="D8" i="5" s="1"/>
  <c r="R8" i="9"/>
  <c r="S8" i="9" s="1"/>
  <c r="D7" i="5" s="1"/>
  <c r="R5" i="9"/>
  <c r="S5" i="9" s="1"/>
  <c r="D4" i="5" s="1"/>
  <c r="P4" i="3"/>
  <c r="O4" i="3" s="1"/>
  <c r="P5" i="3"/>
  <c r="O5" i="3" s="1"/>
  <c r="P6" i="3"/>
  <c r="O6" i="3" s="1"/>
  <c r="P7" i="3"/>
  <c r="P8" i="3"/>
  <c r="P9" i="3"/>
  <c r="P10" i="3"/>
  <c r="P11" i="3"/>
  <c r="P12" i="3"/>
  <c r="P13" i="3"/>
  <c r="P14" i="3"/>
  <c r="N4" i="3"/>
  <c r="N5" i="3"/>
  <c r="N6" i="3"/>
  <c r="N7" i="3"/>
  <c r="N8" i="3"/>
  <c r="N9" i="3"/>
  <c r="N10" i="3"/>
  <c r="N11" i="3"/>
  <c r="N12" i="3"/>
  <c r="N13" i="3"/>
  <c r="N14" i="3"/>
  <c r="L4" i="3"/>
  <c r="K4" i="3" s="1"/>
  <c r="L5" i="3"/>
  <c r="K5" i="3" s="1"/>
  <c r="L6" i="3"/>
  <c r="K6" i="3" s="1"/>
  <c r="L7" i="3"/>
  <c r="L8" i="3"/>
  <c r="L9" i="3"/>
  <c r="L10" i="3"/>
  <c r="L11" i="3"/>
  <c r="L12" i="3"/>
  <c r="L13" i="3"/>
  <c r="L14" i="3"/>
  <c r="J4" i="3"/>
  <c r="J5" i="3"/>
  <c r="J6" i="3"/>
  <c r="J7" i="3"/>
  <c r="J8" i="3"/>
  <c r="J9" i="3"/>
  <c r="J10" i="3"/>
  <c r="J11" i="3"/>
  <c r="J12" i="3"/>
  <c r="J13" i="3"/>
  <c r="J14" i="3"/>
  <c r="O4" i="1"/>
  <c r="O6" i="1"/>
  <c r="O5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B162" i="8"/>
  <c r="B163" i="8"/>
  <c r="B164" i="8"/>
  <c r="B165" i="8"/>
  <c r="B166" i="8"/>
  <c r="B167" i="8"/>
  <c r="B168" i="8"/>
  <c r="B169" i="8"/>
  <c r="B170" i="8"/>
  <c r="B171" i="8"/>
  <c r="B172" i="8"/>
  <c r="B173" i="8"/>
  <c r="B161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45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29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13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97" i="8"/>
  <c r="B82" i="8"/>
  <c r="B83" i="8"/>
  <c r="B84" i="8"/>
  <c r="B85" i="8"/>
  <c r="B86" i="8"/>
  <c r="B87" i="8"/>
  <c r="B88" i="8"/>
  <c r="B89" i="8"/>
  <c r="B90" i="8"/>
  <c r="B91" i="8"/>
  <c r="B92" i="8"/>
  <c r="B93" i="8"/>
  <c r="B81" i="8"/>
  <c r="B66" i="8"/>
  <c r="B67" i="8"/>
  <c r="B68" i="8"/>
  <c r="B69" i="8"/>
  <c r="B70" i="8"/>
  <c r="B71" i="8"/>
  <c r="B72" i="8"/>
  <c r="B73" i="8"/>
  <c r="B74" i="8"/>
  <c r="B75" i="8"/>
  <c r="B76" i="8"/>
  <c r="B77" i="8"/>
  <c r="B65" i="8"/>
  <c r="B50" i="8"/>
  <c r="B51" i="8"/>
  <c r="B52" i="8"/>
  <c r="B53" i="8"/>
  <c r="B54" i="8"/>
  <c r="B55" i="8"/>
  <c r="B56" i="8"/>
  <c r="B57" i="8"/>
  <c r="B58" i="8"/>
  <c r="B59" i="8"/>
  <c r="B60" i="8"/>
  <c r="B61" i="8"/>
  <c r="B49" i="8"/>
  <c r="B34" i="8"/>
  <c r="B35" i="8"/>
  <c r="B36" i="8"/>
  <c r="B37" i="8"/>
  <c r="B38" i="8"/>
  <c r="B39" i="8"/>
  <c r="B40" i="8"/>
  <c r="B41" i="8"/>
  <c r="B42" i="8"/>
  <c r="B43" i="8"/>
  <c r="B44" i="8"/>
  <c r="B45" i="8"/>
  <c r="B33" i="8"/>
  <c r="B18" i="8"/>
  <c r="B19" i="8"/>
  <c r="B20" i="8"/>
  <c r="B21" i="8"/>
  <c r="B22" i="8"/>
  <c r="B23" i="8"/>
  <c r="B24" i="8"/>
  <c r="B25" i="8"/>
  <c r="B26" i="8"/>
  <c r="B27" i="8"/>
  <c r="B28" i="8"/>
  <c r="B29" i="8"/>
  <c r="B17" i="8"/>
  <c r="H4" i="5" l="1"/>
  <c r="J4" i="5" l="1"/>
  <c r="G4" i="1"/>
  <c r="G6" i="1"/>
  <c r="G5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AX17" i="7"/>
  <c r="AX16" i="7"/>
  <c r="AX15" i="7"/>
  <c r="H173" i="8" s="1"/>
  <c r="I173" i="8" s="1"/>
  <c r="AX14" i="7"/>
  <c r="H172" i="8" s="1"/>
  <c r="I172" i="8" s="1"/>
  <c r="AX13" i="7"/>
  <c r="H171" i="8" s="1"/>
  <c r="I171" i="8" s="1"/>
  <c r="AX12" i="7"/>
  <c r="H170" i="8" s="1"/>
  <c r="I170" i="8" s="1"/>
  <c r="AX11" i="7"/>
  <c r="H169" i="8" s="1"/>
  <c r="I169" i="8" s="1"/>
  <c r="AX10" i="7"/>
  <c r="H168" i="8" s="1"/>
  <c r="I168" i="8" s="1"/>
  <c r="AX9" i="7"/>
  <c r="H167" i="8" s="1"/>
  <c r="I167" i="8" s="1"/>
  <c r="AX8" i="7"/>
  <c r="H166" i="8" s="1"/>
  <c r="I166" i="8" s="1"/>
  <c r="AX7" i="7"/>
  <c r="H165" i="8" s="1"/>
  <c r="I165" i="8" s="1"/>
  <c r="AX6" i="7"/>
  <c r="H164" i="8" s="1"/>
  <c r="I164" i="8" s="1"/>
  <c r="AX5" i="7"/>
  <c r="H163" i="8" s="1"/>
  <c r="I163" i="8" s="1"/>
  <c r="AX4" i="7"/>
  <c r="H162" i="8" s="1"/>
  <c r="I162" i="8" s="1"/>
  <c r="AX3" i="7"/>
  <c r="H161" i="8" s="1"/>
  <c r="I161" i="8" s="1"/>
  <c r="D196" i="8" s="1"/>
  <c r="AS17" i="7"/>
  <c r="AS16" i="7"/>
  <c r="AS15" i="7"/>
  <c r="H157" i="8" s="1"/>
  <c r="I157" i="8" s="1"/>
  <c r="AS14" i="7"/>
  <c r="H156" i="8" s="1"/>
  <c r="I156" i="8" s="1"/>
  <c r="AS13" i="7"/>
  <c r="H155" i="8" s="1"/>
  <c r="I155" i="8" s="1"/>
  <c r="AS12" i="7"/>
  <c r="H154" i="8" s="1"/>
  <c r="I154" i="8" s="1"/>
  <c r="AS11" i="7"/>
  <c r="H153" i="8" s="1"/>
  <c r="I153" i="8" s="1"/>
  <c r="AS10" i="7"/>
  <c r="H152" i="8" s="1"/>
  <c r="I152" i="8" s="1"/>
  <c r="AS9" i="7"/>
  <c r="H151" i="8" s="1"/>
  <c r="I151" i="8" s="1"/>
  <c r="AS8" i="7"/>
  <c r="H150" i="8" s="1"/>
  <c r="I150" i="8" s="1"/>
  <c r="AS7" i="7"/>
  <c r="H149" i="8" s="1"/>
  <c r="I149" i="8" s="1"/>
  <c r="AS6" i="7"/>
  <c r="H148" i="8" s="1"/>
  <c r="I148" i="8" s="1"/>
  <c r="AS5" i="7"/>
  <c r="H147" i="8" s="1"/>
  <c r="I147" i="8" s="1"/>
  <c r="AS4" i="7"/>
  <c r="H146" i="8" s="1"/>
  <c r="I146" i="8" s="1"/>
  <c r="AS3" i="7"/>
  <c r="H145" i="8" s="1"/>
  <c r="I145" i="8" s="1"/>
  <c r="AN17" i="7"/>
  <c r="AN16" i="7"/>
  <c r="AN15" i="7"/>
  <c r="H141" i="8" s="1"/>
  <c r="I141" i="8" s="1"/>
  <c r="AN14" i="7"/>
  <c r="H140" i="8" s="1"/>
  <c r="I140" i="8" s="1"/>
  <c r="AN13" i="7"/>
  <c r="H139" i="8" s="1"/>
  <c r="I139" i="8" s="1"/>
  <c r="AN12" i="7"/>
  <c r="H138" i="8" s="1"/>
  <c r="I138" i="8" s="1"/>
  <c r="AN11" i="7"/>
  <c r="H137" i="8" s="1"/>
  <c r="I137" i="8" s="1"/>
  <c r="AN10" i="7"/>
  <c r="H136" i="8" s="1"/>
  <c r="I136" i="8" s="1"/>
  <c r="AN9" i="7"/>
  <c r="H135" i="8" s="1"/>
  <c r="I135" i="8" s="1"/>
  <c r="AN8" i="7"/>
  <c r="H134" i="8" s="1"/>
  <c r="I134" i="8" s="1"/>
  <c r="AN7" i="7"/>
  <c r="H133" i="8" s="1"/>
  <c r="I133" i="8" s="1"/>
  <c r="AN6" i="7"/>
  <c r="H132" i="8" s="1"/>
  <c r="I132" i="8" s="1"/>
  <c r="AN5" i="7"/>
  <c r="H131" i="8" s="1"/>
  <c r="I131" i="8" s="1"/>
  <c r="AN4" i="7"/>
  <c r="H130" i="8" s="1"/>
  <c r="I130" i="8" s="1"/>
  <c r="AN3" i="7"/>
  <c r="H129" i="8" s="1"/>
  <c r="I129" i="8" s="1"/>
  <c r="D194" i="8" s="1"/>
  <c r="AI17" i="7"/>
  <c r="AI16" i="7"/>
  <c r="AI15" i="7"/>
  <c r="H125" i="8" s="1"/>
  <c r="I125" i="8" s="1"/>
  <c r="AI14" i="7"/>
  <c r="H124" i="8" s="1"/>
  <c r="I124" i="8" s="1"/>
  <c r="AI13" i="7"/>
  <c r="H123" i="8" s="1"/>
  <c r="I123" i="8" s="1"/>
  <c r="AI12" i="7"/>
  <c r="H122" i="8" s="1"/>
  <c r="I122" i="8" s="1"/>
  <c r="AI11" i="7"/>
  <c r="H121" i="8" s="1"/>
  <c r="I121" i="8" s="1"/>
  <c r="AI10" i="7"/>
  <c r="H120" i="8" s="1"/>
  <c r="I120" i="8" s="1"/>
  <c r="AI9" i="7"/>
  <c r="H119" i="8" s="1"/>
  <c r="I119" i="8" s="1"/>
  <c r="AI8" i="7"/>
  <c r="H118" i="8" s="1"/>
  <c r="I118" i="8" s="1"/>
  <c r="AI7" i="7"/>
  <c r="H117" i="8" s="1"/>
  <c r="I117" i="8" s="1"/>
  <c r="AI6" i="7"/>
  <c r="H116" i="8" s="1"/>
  <c r="I116" i="8" s="1"/>
  <c r="AI5" i="7"/>
  <c r="H115" i="8" s="1"/>
  <c r="I115" i="8" s="1"/>
  <c r="AI4" i="7"/>
  <c r="H114" i="8" s="1"/>
  <c r="I114" i="8" s="1"/>
  <c r="AI3" i="7"/>
  <c r="H113" i="8" s="1"/>
  <c r="I113" i="8" s="1"/>
  <c r="AD17" i="7"/>
  <c r="AD16" i="7"/>
  <c r="AD15" i="7"/>
  <c r="H109" i="8" s="1"/>
  <c r="I109" i="8" s="1"/>
  <c r="AD14" i="7"/>
  <c r="H108" i="8" s="1"/>
  <c r="I108" i="8" s="1"/>
  <c r="AD13" i="7"/>
  <c r="H107" i="8" s="1"/>
  <c r="I107" i="8" s="1"/>
  <c r="AD12" i="7"/>
  <c r="H106" i="8" s="1"/>
  <c r="I106" i="8" s="1"/>
  <c r="AD11" i="7"/>
  <c r="H105" i="8" s="1"/>
  <c r="I105" i="8" s="1"/>
  <c r="AD10" i="7"/>
  <c r="H104" i="8" s="1"/>
  <c r="I104" i="8" s="1"/>
  <c r="AD9" i="7"/>
  <c r="H103" i="8" s="1"/>
  <c r="I103" i="8" s="1"/>
  <c r="AD8" i="7"/>
  <c r="H102" i="8" s="1"/>
  <c r="I102" i="8" s="1"/>
  <c r="AD7" i="7"/>
  <c r="H101" i="8" s="1"/>
  <c r="I101" i="8" s="1"/>
  <c r="AD6" i="7"/>
  <c r="H100" i="8" s="1"/>
  <c r="I100" i="8" s="1"/>
  <c r="AD5" i="7"/>
  <c r="H99" i="8" s="1"/>
  <c r="I99" i="8" s="1"/>
  <c r="AD4" i="7"/>
  <c r="H98" i="8" s="1"/>
  <c r="I98" i="8" s="1"/>
  <c r="AD3" i="7"/>
  <c r="H97" i="8" s="1"/>
  <c r="I97" i="8" s="1"/>
  <c r="D192" i="8" s="1"/>
  <c r="Y17" i="7"/>
  <c r="Y16" i="7"/>
  <c r="Y15" i="7"/>
  <c r="H93" i="8" s="1"/>
  <c r="I93" i="8" s="1"/>
  <c r="Y14" i="7"/>
  <c r="H92" i="8" s="1"/>
  <c r="I92" i="8" s="1"/>
  <c r="Y13" i="7"/>
  <c r="H91" i="8" s="1"/>
  <c r="I91" i="8" s="1"/>
  <c r="Y12" i="7"/>
  <c r="H90" i="8" s="1"/>
  <c r="I90" i="8" s="1"/>
  <c r="Y11" i="7"/>
  <c r="H89" i="8" s="1"/>
  <c r="I89" i="8" s="1"/>
  <c r="Y10" i="7"/>
  <c r="H88" i="8" s="1"/>
  <c r="I88" i="8" s="1"/>
  <c r="Y9" i="7"/>
  <c r="H87" i="8" s="1"/>
  <c r="I87" i="8" s="1"/>
  <c r="Y8" i="7"/>
  <c r="H86" i="8" s="1"/>
  <c r="I86" i="8" s="1"/>
  <c r="Y7" i="7"/>
  <c r="H85" i="8" s="1"/>
  <c r="I85" i="8" s="1"/>
  <c r="Y6" i="7"/>
  <c r="H84" i="8" s="1"/>
  <c r="I84" i="8" s="1"/>
  <c r="Y5" i="7"/>
  <c r="H83" i="8" s="1"/>
  <c r="I83" i="8" s="1"/>
  <c r="Y4" i="7"/>
  <c r="H82" i="8" s="1"/>
  <c r="I82" i="8" s="1"/>
  <c r="Y3" i="7"/>
  <c r="H81" i="8" s="1"/>
  <c r="I81" i="8" s="1"/>
  <c r="T17" i="7"/>
  <c r="T16" i="7"/>
  <c r="T15" i="7"/>
  <c r="H77" i="8" s="1"/>
  <c r="I77" i="8" s="1"/>
  <c r="T14" i="7"/>
  <c r="H76" i="8" s="1"/>
  <c r="I76" i="8" s="1"/>
  <c r="T13" i="7"/>
  <c r="H75" i="8" s="1"/>
  <c r="I75" i="8" s="1"/>
  <c r="T12" i="7"/>
  <c r="H74" i="8" s="1"/>
  <c r="I74" i="8" s="1"/>
  <c r="T11" i="7"/>
  <c r="H73" i="8" s="1"/>
  <c r="I73" i="8" s="1"/>
  <c r="T10" i="7"/>
  <c r="H72" i="8" s="1"/>
  <c r="I72" i="8" s="1"/>
  <c r="T9" i="7"/>
  <c r="H71" i="8" s="1"/>
  <c r="I71" i="8" s="1"/>
  <c r="T8" i="7"/>
  <c r="H70" i="8" s="1"/>
  <c r="I70" i="8" s="1"/>
  <c r="T7" i="7"/>
  <c r="H69" i="8" s="1"/>
  <c r="I69" i="8" s="1"/>
  <c r="T6" i="7"/>
  <c r="H68" i="8" s="1"/>
  <c r="I68" i="8" s="1"/>
  <c r="T5" i="7"/>
  <c r="H67" i="8" s="1"/>
  <c r="I67" i="8" s="1"/>
  <c r="T4" i="7"/>
  <c r="H66" i="8" s="1"/>
  <c r="I66" i="8" s="1"/>
  <c r="T3" i="7"/>
  <c r="H65" i="8" s="1"/>
  <c r="I65" i="8" s="1"/>
  <c r="D190" i="8" s="1"/>
  <c r="O17" i="7"/>
  <c r="O16" i="7"/>
  <c r="O15" i="7"/>
  <c r="H61" i="8" s="1"/>
  <c r="I61" i="8" s="1"/>
  <c r="O14" i="7"/>
  <c r="H60" i="8" s="1"/>
  <c r="I60" i="8" s="1"/>
  <c r="O13" i="7"/>
  <c r="H59" i="8" s="1"/>
  <c r="I59" i="8" s="1"/>
  <c r="O12" i="7"/>
  <c r="H58" i="8" s="1"/>
  <c r="I58" i="8" s="1"/>
  <c r="O11" i="7"/>
  <c r="H57" i="8" s="1"/>
  <c r="I57" i="8" s="1"/>
  <c r="O10" i="7"/>
  <c r="H56" i="8" s="1"/>
  <c r="I56" i="8" s="1"/>
  <c r="O9" i="7"/>
  <c r="H55" i="8" s="1"/>
  <c r="I55" i="8" s="1"/>
  <c r="O8" i="7"/>
  <c r="H54" i="8" s="1"/>
  <c r="I54" i="8" s="1"/>
  <c r="O7" i="7"/>
  <c r="H53" i="8" s="1"/>
  <c r="I53" i="8" s="1"/>
  <c r="O6" i="7"/>
  <c r="H52" i="8" s="1"/>
  <c r="I52" i="8" s="1"/>
  <c r="O5" i="7"/>
  <c r="H51" i="8" s="1"/>
  <c r="I51" i="8" s="1"/>
  <c r="O4" i="7"/>
  <c r="H50" i="8" s="1"/>
  <c r="I50" i="8" s="1"/>
  <c r="O3" i="7"/>
  <c r="H49" i="8" s="1"/>
  <c r="I49" i="8" s="1"/>
  <c r="J17" i="7"/>
  <c r="J16" i="7"/>
  <c r="J15" i="7"/>
  <c r="H45" i="8" s="1"/>
  <c r="I45" i="8" s="1"/>
  <c r="J14" i="7"/>
  <c r="H44" i="8" s="1"/>
  <c r="I44" i="8" s="1"/>
  <c r="J13" i="7"/>
  <c r="H43" i="8" s="1"/>
  <c r="I43" i="8" s="1"/>
  <c r="J12" i="7"/>
  <c r="H42" i="8" s="1"/>
  <c r="I42" i="8" s="1"/>
  <c r="J11" i="7"/>
  <c r="H41" i="8" s="1"/>
  <c r="I41" i="8" s="1"/>
  <c r="J10" i="7"/>
  <c r="H40" i="8" s="1"/>
  <c r="I40" i="8" s="1"/>
  <c r="J9" i="7"/>
  <c r="H39" i="8" s="1"/>
  <c r="I39" i="8" s="1"/>
  <c r="J8" i="7"/>
  <c r="H38" i="8" s="1"/>
  <c r="I38" i="8" s="1"/>
  <c r="J7" i="7"/>
  <c r="H37" i="8" s="1"/>
  <c r="I37" i="8" s="1"/>
  <c r="J6" i="7"/>
  <c r="H36" i="8" s="1"/>
  <c r="I36" i="8" s="1"/>
  <c r="J5" i="7"/>
  <c r="H35" i="8" s="1"/>
  <c r="I35" i="8" s="1"/>
  <c r="J4" i="7"/>
  <c r="H34" i="8" s="1"/>
  <c r="I34" i="8" s="1"/>
  <c r="J3" i="7"/>
  <c r="H33" i="8" s="1"/>
  <c r="I33" i="8" s="1"/>
  <c r="D188" i="8" s="1"/>
  <c r="E3" i="7"/>
  <c r="H17" i="8" s="1"/>
  <c r="I17" i="8" s="1"/>
  <c r="E4" i="7"/>
  <c r="H18" i="8" s="1"/>
  <c r="I18" i="8" s="1"/>
  <c r="E5" i="7"/>
  <c r="H19" i="8" s="1"/>
  <c r="I19" i="8" s="1"/>
  <c r="E6" i="7"/>
  <c r="H20" i="8" s="1"/>
  <c r="I20" i="8" s="1"/>
  <c r="E7" i="7"/>
  <c r="H21" i="8" s="1"/>
  <c r="I21" i="8" s="1"/>
  <c r="E8" i="7"/>
  <c r="H22" i="8" s="1"/>
  <c r="I22" i="8" s="1"/>
  <c r="E9" i="7"/>
  <c r="H23" i="8" s="1"/>
  <c r="I23" i="8" s="1"/>
  <c r="E10" i="7"/>
  <c r="H24" i="8" s="1"/>
  <c r="I24" i="8" s="1"/>
  <c r="E11" i="7"/>
  <c r="H25" i="8" s="1"/>
  <c r="I25" i="8" s="1"/>
  <c r="E12" i="7"/>
  <c r="H26" i="8" s="1"/>
  <c r="I26" i="8" s="1"/>
  <c r="E13" i="7"/>
  <c r="H27" i="8" s="1"/>
  <c r="I27" i="8" s="1"/>
  <c r="E14" i="7"/>
  <c r="H28" i="8" s="1"/>
  <c r="I28" i="8" s="1"/>
  <c r="E15" i="7"/>
  <c r="H29" i="8" s="1"/>
  <c r="I29" i="8" s="1"/>
  <c r="E16" i="7"/>
  <c r="E17" i="7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L4" i="1"/>
  <c r="K4" i="1" s="1"/>
  <c r="M4" i="1" s="1"/>
  <c r="L6" i="1"/>
  <c r="K6" i="1" s="1"/>
  <c r="M6" i="1" s="1"/>
  <c r="L5" i="1"/>
  <c r="K5" i="1" s="1"/>
  <c r="M5" i="1" s="1"/>
  <c r="L7" i="1"/>
  <c r="K7" i="1" s="1"/>
  <c r="M7" i="1" s="1"/>
  <c r="L8" i="1"/>
  <c r="K8" i="1" s="1"/>
  <c r="M8" i="1" s="1"/>
  <c r="L9" i="1"/>
  <c r="K9" i="1" s="1"/>
  <c r="M9" i="1" s="1"/>
  <c r="L10" i="1"/>
  <c r="K10" i="1" s="1"/>
  <c r="M10" i="1" s="1"/>
  <c r="L11" i="1"/>
  <c r="K11" i="1" s="1"/>
  <c r="M11" i="1" s="1"/>
  <c r="L12" i="1"/>
  <c r="K12" i="1" s="1"/>
  <c r="M12" i="1" s="1"/>
  <c r="L13" i="1"/>
  <c r="K13" i="1" s="1"/>
  <c r="M13" i="1" s="1"/>
  <c r="L14" i="1"/>
  <c r="K14" i="1" s="1"/>
  <c r="M14" i="1" s="1"/>
  <c r="L15" i="1"/>
  <c r="K15" i="1" s="1"/>
  <c r="M15" i="1" s="1"/>
  <c r="L16" i="1"/>
  <c r="K16" i="1" s="1"/>
  <c r="M16" i="1" s="1"/>
  <c r="L17" i="1"/>
  <c r="K17" i="1" s="1"/>
  <c r="M17" i="1" s="1"/>
  <c r="L18" i="1"/>
  <c r="K18" i="1" s="1"/>
  <c r="M18" i="1" s="1"/>
  <c r="L19" i="1"/>
  <c r="K19" i="1" s="1"/>
  <c r="M19" i="1" s="1"/>
  <c r="L20" i="1"/>
  <c r="K20" i="1" s="1"/>
  <c r="M20" i="1" s="1"/>
  <c r="L21" i="1"/>
  <c r="K21" i="1" s="1"/>
  <c r="M21" i="1" s="1"/>
  <c r="L22" i="1"/>
  <c r="K22" i="1" s="1"/>
  <c r="M22" i="1" s="1"/>
  <c r="L23" i="1"/>
  <c r="K23" i="1" s="1"/>
  <c r="M23" i="1" s="1"/>
  <c r="L24" i="1"/>
  <c r="K24" i="1" s="1"/>
  <c r="M24" i="1" s="1"/>
  <c r="J4" i="1"/>
  <c r="J6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F4" i="1"/>
  <c r="H4" i="1" s="1"/>
  <c r="F6" i="1"/>
  <c r="H6" i="1" s="1"/>
  <c r="F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D189" i="8" l="1"/>
  <c r="D191" i="8"/>
  <c r="D193" i="8"/>
  <c r="D195" i="8"/>
  <c r="D187" i="8"/>
  <c r="I175" i="8"/>
  <c r="H5" i="1"/>
  <c r="H7" i="5" l="1"/>
  <c r="J7" i="5" s="1"/>
  <c r="H12" i="5" s="1"/>
  <c r="C4" i="9" l="1"/>
  <c r="D4" i="9" s="1"/>
  <c r="R4" i="9" s="1"/>
  <c r="I4" i="9" l="1"/>
  <c r="I12" i="5" s="1"/>
  <c r="S4" i="9"/>
  <c r="K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31D8-0DEC-47F4-814E-FEFD249D2FE7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F90A6E8-2DD2-4148-85B0-EA8189EB1C0A}" name="WorksheetConnection_Cálculos modelo 2.1.xlsx!Tabela_Ckt_TUE" type="102" refreshedVersion="7" minRefreshableVersion="5">
    <extLst>
      <ext xmlns:x15="http://schemas.microsoft.com/office/spreadsheetml/2010/11/main" uri="{DE250136-89BD-433C-8126-D09CA5730AF9}">
        <x15:connection id="Tabela_Ckt_TUE">
          <x15:rangePr sourceName="_xlcn.WorksheetConnection_Cálculosmodelo2.1.xlsxTabela_Ckt_TUE"/>
        </x15:connection>
      </ext>
    </extLst>
  </connection>
  <connection id="3" xr16:uid="{F1394E46-FD9A-4D55-ADEA-ACB6034B0B8E}" name="WorksheetConnection_Cálculos modelo 2.1.xlsx!Tabela_Ckt_TUG" type="102" refreshedVersion="7" minRefreshableVersion="5">
    <extLst>
      <ext xmlns:x15="http://schemas.microsoft.com/office/spreadsheetml/2010/11/main" uri="{DE250136-89BD-433C-8126-D09CA5730AF9}">
        <x15:connection id="Tabela_Ckt_TUG">
          <x15:rangePr sourceName="_xlcn.WorksheetConnection_Cálculosmodelo2.1.xlsxTabela_Ckt_TUG"/>
        </x15:connection>
      </ext>
    </extLst>
  </connection>
</connections>
</file>

<file path=xl/sharedStrings.xml><?xml version="1.0" encoding="utf-8"?>
<sst xmlns="http://schemas.openxmlformats.org/spreadsheetml/2006/main" count="254" uniqueCount="150">
  <si>
    <t>Cômodos</t>
  </si>
  <si>
    <t>Tipo de ambiente</t>
  </si>
  <si>
    <t>Banheiro</t>
  </si>
  <si>
    <t>Áreas molhadas</t>
  </si>
  <si>
    <t>Varanda</t>
  </si>
  <si>
    <t>Salas/Dormitórios</t>
  </si>
  <si>
    <t>&lt;=2,25m²</t>
  </si>
  <si>
    <t>2,25m²&lt;x&lt;6m²</t>
  </si>
  <si>
    <t>&gt;6m²</t>
  </si>
  <si>
    <t>Observações</t>
  </si>
  <si>
    <t>Qtd (min)</t>
  </si>
  <si>
    <t>Se A&lt;2m² ou L&lt;0,8m, próximo ao acesso.</t>
  </si>
  <si>
    <t>Acima da bancada da pia, 2 TUG's.</t>
  </si>
  <si>
    <t>Próximo ao lavatório.</t>
  </si>
  <si>
    <t>Pode ser externo a menos que 0,8m do acesso.</t>
  </si>
  <si>
    <t>Div + fração</t>
  </si>
  <si>
    <t>N°</t>
  </si>
  <si>
    <t>Tipo</t>
  </si>
  <si>
    <t>Área (m²)</t>
  </si>
  <si>
    <t>Perímetro (m)</t>
  </si>
  <si>
    <t>Qtd (600VA)</t>
  </si>
  <si>
    <t>Obs</t>
  </si>
  <si>
    <t>TUG's</t>
  </si>
  <si>
    <t>Pot TUG's</t>
  </si>
  <si>
    <t>TUG</t>
  </si>
  <si>
    <t>Iluminação</t>
  </si>
  <si>
    <t>Externo</t>
  </si>
  <si>
    <t>Qtd</t>
  </si>
  <si>
    <t>Sim</t>
  </si>
  <si>
    <t>Não</t>
  </si>
  <si>
    <t>Se Qtd. TUG &gt; 6, Considera-se 2.</t>
  </si>
  <si>
    <t>Reservar Qtd. de pontos necessárias por TUG.</t>
  </si>
  <si>
    <t>Geral</t>
  </si>
  <si>
    <t>Opção</t>
  </si>
  <si>
    <t>Garagem</t>
  </si>
  <si>
    <t>TUE</t>
  </si>
  <si>
    <t>Potência (VA)</t>
  </si>
  <si>
    <t>FP</t>
  </si>
  <si>
    <t>Aplicação</t>
  </si>
  <si>
    <t>TUE's</t>
  </si>
  <si>
    <t>Cômodo</t>
  </si>
  <si>
    <t>N° Circuito</t>
  </si>
  <si>
    <t>Condutor (mm²)</t>
  </si>
  <si>
    <t>Corrente (A)</t>
  </si>
  <si>
    <t>Disjuntor</t>
  </si>
  <si>
    <t>Fator de demanda</t>
  </si>
  <si>
    <t>Pot. Considerada</t>
  </si>
  <si>
    <t>Disjuntor Geral (A)</t>
  </si>
  <si>
    <t>Seção medidor-QD (mm²)</t>
  </si>
  <si>
    <t>Pot. Disponibilizada (VA)</t>
  </si>
  <si>
    <t>DJ de proteção (A)</t>
  </si>
  <si>
    <t>Seção de Ramal (mm²)</t>
  </si>
  <si>
    <t>Eletroduto do Ramal (")</t>
  </si>
  <si>
    <t>Seção aterramento (mm²)</t>
  </si>
  <si>
    <t>Diâmetro do pontalete (")</t>
  </si>
  <si>
    <t>Interruptores</t>
  </si>
  <si>
    <t>Condutores</t>
  </si>
  <si>
    <t>Qtd final</t>
  </si>
  <si>
    <t>F. desperdiço (%)</t>
  </si>
  <si>
    <t>Luminárias</t>
  </si>
  <si>
    <t>Caixa de passagem</t>
  </si>
  <si>
    <t>Eletrodutos</t>
  </si>
  <si>
    <t>Outros</t>
  </si>
  <si>
    <t>Proteção</t>
  </si>
  <si>
    <t>Qd e padrão de entrada</t>
  </si>
  <si>
    <t>QD</t>
  </si>
  <si>
    <t>Haste de aterramento</t>
  </si>
  <si>
    <t>Padrão de entrada</t>
  </si>
  <si>
    <t>Potência (W)</t>
  </si>
  <si>
    <t>Tensão</t>
  </si>
  <si>
    <t>Quarto</t>
  </si>
  <si>
    <t>Obs. (600VA)</t>
  </si>
  <si>
    <t>Qtd. (mín)</t>
  </si>
  <si>
    <t>Pts. de 600 VA</t>
  </si>
  <si>
    <t>Qtd. Adotada</t>
  </si>
  <si>
    <t>Orçamento do serviço</t>
  </si>
  <si>
    <t>Data</t>
  </si>
  <si>
    <t>Descrição do serviço</t>
  </si>
  <si>
    <t>Item</t>
  </si>
  <si>
    <t>Preço und.</t>
  </si>
  <si>
    <t>Qtd.</t>
  </si>
  <si>
    <t>Valor</t>
  </si>
  <si>
    <t>Orçamento Final</t>
  </si>
  <si>
    <r>
      <t>*</t>
    </r>
    <r>
      <rPr>
        <b/>
        <sz val="11"/>
        <color theme="1"/>
        <rFont val="Arial"/>
        <family val="2"/>
      </rPr>
      <t>Motivação:</t>
    </r>
    <r>
      <rPr>
        <sz val="11"/>
        <color theme="1"/>
        <rFont val="Arial"/>
        <family val="2"/>
      </rPr>
      <t xml:space="preserve"> </t>
    </r>
  </si>
  <si>
    <r>
      <t>*</t>
    </r>
    <r>
      <rPr>
        <b/>
        <sz val="11"/>
        <color theme="1"/>
        <rFont val="Arial"/>
        <family val="2"/>
      </rPr>
      <t>Local:</t>
    </r>
    <r>
      <rPr>
        <sz val="11"/>
        <color theme="1"/>
        <rFont val="Arial"/>
        <family val="2"/>
      </rPr>
      <t xml:space="preserve"> </t>
    </r>
  </si>
  <si>
    <r>
      <t>*</t>
    </r>
    <r>
      <rPr>
        <b/>
        <sz val="11"/>
        <color theme="1"/>
        <rFont val="Arial"/>
        <family val="2"/>
      </rPr>
      <t>Endereço:</t>
    </r>
  </si>
  <si>
    <r>
      <t>*</t>
    </r>
    <r>
      <rPr>
        <b/>
        <sz val="11"/>
        <color theme="1"/>
        <rFont val="Arial"/>
        <family val="2"/>
      </rPr>
      <t>Responsável:</t>
    </r>
    <r>
      <rPr>
        <sz val="11"/>
        <color theme="1"/>
        <rFont val="Arial"/>
        <family val="2"/>
      </rPr>
      <t xml:space="preserve"> Wilknis Deyvis Silva Oliveira</t>
    </r>
  </si>
  <si>
    <r>
      <rPr>
        <b/>
        <sz val="11"/>
        <color theme="1"/>
        <rFont val="Arial"/>
        <family val="2"/>
      </rPr>
      <t>*Tempo de serviço:</t>
    </r>
    <r>
      <rPr>
        <sz val="11"/>
        <color theme="1"/>
        <rFont val="Arial"/>
        <family val="2"/>
      </rPr>
      <t xml:space="preserve"> </t>
    </r>
  </si>
  <si>
    <t>Responsável</t>
  </si>
  <si>
    <t>QD e padrão de entrada</t>
  </si>
  <si>
    <t>_________________________________________________</t>
  </si>
  <si>
    <t>Sala</t>
  </si>
  <si>
    <t>Cozinha</t>
  </si>
  <si>
    <t>Ar-condicionado</t>
  </si>
  <si>
    <t>Forno elétrico</t>
  </si>
  <si>
    <t>N° ckt ilu.</t>
  </si>
  <si>
    <t>N° ckt TUG</t>
  </si>
  <si>
    <t>Rótulos de Linha</t>
  </si>
  <si>
    <t>(vazio)</t>
  </si>
  <si>
    <t>Pot.(VA) ilu.</t>
  </si>
  <si>
    <t>Pot.(VA) TUG</t>
  </si>
  <si>
    <t>Soma de Pot.(VA) TUG</t>
  </si>
  <si>
    <t>Soma de Pot.(VA) ilu.</t>
  </si>
  <si>
    <t>Corrente (A) ajustada</t>
  </si>
  <si>
    <t>Ítem</t>
  </si>
  <si>
    <t>Total</t>
  </si>
  <si>
    <t>Dupla</t>
  </si>
  <si>
    <t>20A</t>
  </si>
  <si>
    <t>Duplo</t>
  </si>
  <si>
    <t>De forro</t>
  </si>
  <si>
    <t>Referência</t>
  </si>
  <si>
    <t>A1</t>
  </si>
  <si>
    <t>A2</t>
  </si>
  <si>
    <t>B1</t>
  </si>
  <si>
    <t>B2</t>
  </si>
  <si>
    <t>C</t>
  </si>
  <si>
    <t>E</t>
  </si>
  <si>
    <t>F</t>
  </si>
  <si>
    <t>G</t>
  </si>
  <si>
    <t>D</t>
  </si>
  <si>
    <t>Isolação</t>
  </si>
  <si>
    <t>PVC</t>
  </si>
  <si>
    <t>EPR ou XLPE</t>
  </si>
  <si>
    <t>Tabela</t>
  </si>
  <si>
    <t>3.6</t>
  </si>
  <si>
    <t>3.7</t>
  </si>
  <si>
    <t>3.8</t>
  </si>
  <si>
    <t>3.9</t>
  </si>
  <si>
    <t>Tabelas de consulta</t>
  </si>
  <si>
    <t>Condutores carregados</t>
  </si>
  <si>
    <t>Cond. Carregados</t>
  </si>
  <si>
    <t>Seção (mm²)</t>
  </si>
  <si>
    <t>Comprimento (m)</t>
  </si>
  <si>
    <t>Corrente</t>
  </si>
  <si>
    <t>V de alimentação</t>
  </si>
  <si>
    <t>Pot. (VA) - Geral</t>
  </si>
  <si>
    <t>Pot. (VA) - TUE</t>
  </si>
  <si>
    <t>Pot.(VA) - Total</t>
  </si>
  <si>
    <t>Fatores de correção</t>
  </si>
  <si>
    <t>Temperatura</t>
  </si>
  <si>
    <t>Resistividade térmica</t>
  </si>
  <si>
    <t>Agrupamento</t>
  </si>
  <si>
    <t>Método da Ampacidade</t>
  </si>
  <si>
    <t>Seção Determinada (mm²)</t>
  </si>
  <si>
    <t>Resistividade</t>
  </si>
  <si>
    <t>Resistividade (ohm*mm²/m)</t>
  </si>
  <si>
    <t>Queda de V (%)</t>
  </si>
  <si>
    <t>V de fase</t>
  </si>
  <si>
    <t>Queda de V</t>
  </si>
  <si>
    <t>Método da Queda de tensão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</si>
</sst>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$&quot;* #,##0.00_-;\-&quot;R$&quot;* #,##0.00_-;_-&quot;R$&quot;* &quot;-&quot;??_-;_-@_-"/>
    <numFmt numFmtId="165" formatCode="0.0"/>
    <numFmt numFmtId="166" formatCode="0.000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sz val="11"/>
      <color theme="9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 tint="0.59999389629810485"/>
      </patternFill>
    </fill>
    <fill>
      <patternFill patternType="solid">
        <fgColor theme="9"/>
        <bgColor theme="9" tint="0.79998168889431442"/>
      </patternFill>
    </fill>
    <fill>
      <patternFill patternType="solid">
        <fgColor theme="9"/>
        <bgColor theme="9"/>
      </patternFill>
    </fill>
  </fills>
  <borders count="2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slantDashDot">
        <color theme="8" tint="-0.499984740745262"/>
      </left>
      <right style="slantDashDot">
        <color theme="8" tint="-0.499984740745262"/>
      </right>
      <top/>
      <bottom style="thin">
        <color rgb="FFFFFF00"/>
      </bottom>
      <diagonal/>
    </border>
    <border>
      <left style="slantDashDot">
        <color theme="8" tint="-0.499984740745262"/>
      </left>
      <right style="slantDashDot">
        <color theme="8" tint="-0.499984740745262"/>
      </right>
      <top style="thin">
        <color theme="0"/>
      </top>
      <bottom style="thin">
        <color rgb="FFFFFF00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medium">
        <color auto="1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/>
      </bottom>
      <diagonal/>
    </border>
    <border>
      <left/>
      <right style="thin">
        <color theme="0" tint="-0.24994659260841701"/>
      </right>
      <top style="thin">
        <color theme="0"/>
      </top>
      <bottom/>
      <diagonal/>
    </border>
    <border>
      <left/>
      <right/>
      <top/>
      <bottom style="medium">
        <color auto="1"/>
      </bottom>
      <diagonal/>
    </border>
    <border>
      <left/>
      <right style="thin">
        <color theme="2" tint="-9.9948118533890809E-2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slantDashDot">
        <color theme="8" tint="-0.499984740745262"/>
      </right>
      <top/>
      <bottom/>
      <diagonal/>
    </border>
    <border>
      <left style="slantDashDot">
        <color theme="8" tint="-0.499984740745262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16" fontId="0" fillId="0" borderId="0" xfId="0" applyNumberFormat="1"/>
    <xf numFmtId="0" fontId="2" fillId="4" borderId="0" xfId="0" applyFont="1" applyFill="1"/>
    <xf numFmtId="0" fontId="0" fillId="5" borderId="1" xfId="0" applyFill="1" applyBorder="1"/>
    <xf numFmtId="0" fontId="0" fillId="6" borderId="1" xfId="0" applyFill="1" applyBorder="1"/>
    <xf numFmtId="0" fontId="2" fillId="2" borderId="0" xfId="0" applyFont="1" applyFill="1"/>
    <xf numFmtId="0" fontId="0" fillId="3" borderId="0" xfId="0" applyFill="1"/>
    <xf numFmtId="0" fontId="2" fillId="0" borderId="0" xfId="0" applyFont="1"/>
    <xf numFmtId="0" fontId="0" fillId="7" borderId="0" xfId="0" applyFill="1"/>
    <xf numFmtId="0" fontId="0" fillId="3" borderId="0" xfId="0" applyFill="1" applyAlignment="1">
      <alignment horizontal="center"/>
    </xf>
    <xf numFmtId="0" fontId="5" fillId="0" borderId="0" xfId="0" applyFont="1"/>
    <xf numFmtId="0" fontId="5" fillId="0" borderId="4" xfId="0" applyFont="1" applyBorder="1"/>
    <xf numFmtId="0" fontId="5" fillId="8" borderId="5" xfId="0" applyFont="1" applyFill="1" applyBorder="1"/>
    <xf numFmtId="14" fontId="5" fillId="9" borderId="5" xfId="0" applyNumberFormat="1" applyFont="1" applyFill="1" applyBorder="1"/>
    <xf numFmtId="0" fontId="5" fillId="0" borderId="6" xfId="0" applyFont="1" applyBorder="1"/>
    <xf numFmtId="0" fontId="5" fillId="0" borderId="7" xfId="0" applyFont="1" applyBorder="1"/>
    <xf numFmtId="0" fontId="5" fillId="10" borderId="0" xfId="0" applyFont="1" applyFill="1" applyAlignment="1">
      <alignment horizontal="left" vertical="top"/>
    </xf>
    <xf numFmtId="0" fontId="5" fillId="10" borderId="0" xfId="0" applyFont="1" applyFill="1" applyAlignment="1">
      <alignment horizontal="left" vertical="top" wrapText="1"/>
    </xf>
    <xf numFmtId="0" fontId="5" fillId="10" borderId="0" xfId="0" applyFont="1" applyFill="1" applyAlignment="1">
      <alignment vertical="top"/>
    </xf>
    <xf numFmtId="0" fontId="5" fillId="10" borderId="0" xfId="0" applyFont="1" applyFill="1" applyAlignment="1">
      <alignment vertical="top" wrapText="1"/>
    </xf>
    <xf numFmtId="0" fontId="4" fillId="8" borderId="0" xfId="0" applyFont="1" applyFill="1"/>
    <xf numFmtId="0" fontId="5" fillId="0" borderId="9" xfId="0" applyFont="1" applyBorder="1"/>
    <xf numFmtId="0" fontId="5" fillId="8" borderId="6" xfId="0" applyFont="1" applyFill="1" applyBorder="1"/>
    <xf numFmtId="0" fontId="5" fillId="8" borderId="7" xfId="0" applyFont="1" applyFill="1" applyBorder="1"/>
    <xf numFmtId="0" fontId="5" fillId="8" borderId="8" xfId="0" applyFont="1" applyFill="1" applyBorder="1"/>
    <xf numFmtId="0" fontId="5" fillId="8" borderId="8" xfId="0" applyFont="1" applyFill="1" applyBorder="1" applyAlignment="1">
      <alignment horizontal="center"/>
    </xf>
    <xf numFmtId="0" fontId="5" fillId="8" borderId="10" xfId="0" applyFont="1" applyFill="1" applyBorder="1"/>
    <xf numFmtId="0" fontId="5" fillId="10" borderId="7" xfId="0" applyFont="1" applyFill="1" applyBorder="1"/>
    <xf numFmtId="164" fontId="5" fillId="9" borderId="0" xfId="1" applyFont="1" applyFill="1" applyBorder="1"/>
    <xf numFmtId="0" fontId="5" fillId="9" borderId="0" xfId="0" applyFont="1" applyFill="1" applyAlignment="1">
      <alignment horizontal="center"/>
    </xf>
    <xf numFmtId="164" fontId="5" fillId="9" borderId="4" xfId="1" applyFont="1" applyFill="1" applyBorder="1"/>
    <xf numFmtId="0" fontId="7" fillId="0" borderId="0" xfId="0" applyFont="1"/>
    <xf numFmtId="164" fontId="7" fillId="0" borderId="0" xfId="1" applyFont="1" applyFill="1" applyBorder="1"/>
    <xf numFmtId="0" fontId="8" fillId="0" borderId="0" xfId="0" applyFont="1"/>
    <xf numFmtId="0" fontId="7" fillId="0" borderId="0" xfId="0" applyFont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13" xfId="0" applyFont="1" applyBorder="1"/>
    <xf numFmtId="164" fontId="10" fillId="9" borderId="12" xfId="0" applyNumberFormat="1" applyFont="1" applyFill="1" applyBorder="1"/>
    <xf numFmtId="0" fontId="6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0" fontId="0" fillId="0" borderId="14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5" fontId="0" fillId="4" borderId="0" xfId="0" applyNumberFormat="1" applyFill="1"/>
    <xf numFmtId="165" fontId="0" fillId="11" borderId="3" xfId="0" applyNumberFormat="1" applyFill="1" applyBorder="1"/>
    <xf numFmtId="165" fontId="0" fillId="12" borderId="2" xfId="0" applyNumberFormat="1" applyFill="1" applyBorder="1"/>
    <xf numFmtId="164" fontId="0" fillId="0" borderId="0" xfId="0" applyNumberFormat="1"/>
    <xf numFmtId="0" fontId="11" fillId="13" borderId="16" xfId="0" applyFont="1" applyFill="1" applyBorder="1"/>
    <xf numFmtId="0" fontId="11" fillId="13" borderId="17" xfId="0" applyFont="1" applyFill="1" applyBorder="1"/>
    <xf numFmtId="0" fontId="0" fillId="4" borderId="18" xfId="0" applyFill="1" applyBorder="1"/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11" fillId="13" borderId="1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65" fontId="0" fillId="4" borderId="1" xfId="0" applyNumberFormat="1" applyFill="1" applyBorder="1"/>
    <xf numFmtId="165" fontId="0" fillId="4" borderId="1" xfId="0" applyNumberForma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0" fontId="0" fillId="5" borderId="3" xfId="0" applyFill="1" applyBorder="1" applyAlignment="1">
      <alignment horizontal="center"/>
    </xf>
    <xf numFmtId="0" fontId="12" fillId="13" borderId="20" xfId="0" applyFont="1" applyFill="1" applyBorder="1"/>
    <xf numFmtId="0" fontId="12" fillId="0" borderId="0" xfId="0" applyFont="1"/>
    <xf numFmtId="165" fontId="12" fillId="13" borderId="21" xfId="0" applyNumberFormat="1" applyFont="1" applyFill="1" applyBorder="1"/>
    <xf numFmtId="0" fontId="2" fillId="4" borderId="0" xfId="0" applyFont="1" applyFill="1" applyAlignment="1">
      <alignment horizontal="left"/>
    </xf>
    <xf numFmtId="166" fontId="0" fillId="0" borderId="0" xfId="0" applyNumberFormat="1"/>
    <xf numFmtId="0" fontId="2" fillId="2" borderId="2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10" borderId="0" xfId="0" applyFill="1" applyAlignment="1">
      <alignment horizontal="center" vertical="top" wrapText="1"/>
    </xf>
    <xf numFmtId="0" fontId="5" fillId="10" borderId="6" xfId="0" applyFont="1" applyFill="1" applyBorder="1" applyAlignment="1">
      <alignment horizontal="left"/>
    </xf>
    <xf numFmtId="0" fontId="4" fillId="8" borderId="0" xfId="0" applyFont="1" applyFill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10" borderId="8" xfId="0" applyFont="1" applyFill="1" applyBorder="1" applyAlignment="1">
      <alignment horizontal="left" vertical="top" wrapText="1"/>
    </xf>
    <xf numFmtId="0" fontId="5" fillId="10" borderId="0" xfId="0" applyFont="1" applyFill="1" applyAlignment="1">
      <alignment horizontal="left" vertical="top" wrapText="1"/>
    </xf>
    <xf numFmtId="0" fontId="9" fillId="8" borderId="1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</cellXfs>
  <cellStyles count="2">
    <cellStyle name="Moeda 2" xfId="1" xr:uid="{7EC19E44-E5AE-43C2-85B5-D002D6190E01}"/>
    <cellStyle name="Normal" xfId="0" builtinId="0"/>
  </cellStyles>
  <dxfs count="4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165" formatCode="0.0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65" formatCode="0.0"/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165" formatCode="0.0"/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165" formatCode="0.0"/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</dxf>
    <dxf>
      <numFmt numFmtId="165" formatCode="0.0"/>
      <fill>
        <patternFill patternType="solid">
          <fgColor indexed="64"/>
          <bgColor theme="9"/>
        </patternFill>
      </fill>
    </dxf>
    <dxf>
      <numFmt numFmtId="165" formatCode="0.0"/>
      <fill>
        <patternFill patternType="solid">
          <fgColor indexed="64"/>
          <bgColor theme="9"/>
        </patternFill>
      </fill>
    </dxf>
    <dxf>
      <numFmt numFmtId="165" formatCode="0.0"/>
      <fill>
        <patternFill patternType="solid">
          <fgColor indexed="64"/>
          <bgColor theme="9"/>
        </patternFill>
      </fill>
    </dxf>
    <dxf>
      <fill>
        <patternFill>
          <bgColor rgb="FFFF0000"/>
        </patternFill>
      </fill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slantDashDot">
          <color theme="8" tint="-0.499984740745262"/>
        </right>
        <top/>
        <bottom/>
      </border>
    </dxf>
    <dxf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slantDashDot">
          <color theme="8" tint="-0.499984740745262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slantDashDot">
          <color theme="8" tint="-0.499984740745262"/>
        </right>
        <top/>
        <bottom/>
      </border>
    </dxf>
    <dxf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/>
        </patternFill>
      </fill>
    </dxf>
    <dxf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 style="slantDashDot">
          <color theme="8" tint="-0.499984740745262"/>
        </left>
        <right/>
        <top/>
        <bottom/>
      </border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v>Participação por categoria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CC-463F-B80F-1D450D6B24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CC-463F-B80F-1D450D6B24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CC-463F-B80F-1D450D6B24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8CC-463F-B80F-1D450D6B24E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8CC-463F-B80F-1D450D6B24E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8CC-463F-B80F-1D450D6B24E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8CC-463F-B80F-1D450D6B24E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8CC-463F-B80F-1D450D6B24E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8CC-463F-B80F-1D450D6B24E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8CC-463F-B80F-1D450D6B24EC}"/>
              </c:ext>
            </c:extLst>
          </c:dPt>
          <c:cat>
            <c:strRef>
              <c:f>Orçamento!$B$187:$B$196</c:f>
              <c:strCache>
                <c:ptCount val="10"/>
                <c:pt idx="0">
                  <c:v>TUG</c:v>
                </c:pt>
                <c:pt idx="1">
                  <c:v>TUE</c:v>
                </c:pt>
                <c:pt idx="2">
                  <c:v>Interruptores</c:v>
                </c:pt>
                <c:pt idx="3">
                  <c:v>Luminárias</c:v>
                </c:pt>
                <c:pt idx="4">
                  <c:v>Condutores</c:v>
                </c:pt>
                <c:pt idx="5">
                  <c:v>Eletrodutos</c:v>
                </c:pt>
                <c:pt idx="6">
                  <c:v>Caixa de passagem</c:v>
                </c:pt>
                <c:pt idx="7">
                  <c:v>Proteção</c:v>
                </c:pt>
                <c:pt idx="8">
                  <c:v>QD e padrão de entrada</c:v>
                </c:pt>
                <c:pt idx="9">
                  <c:v>Outros</c:v>
                </c:pt>
              </c:strCache>
            </c:strRef>
          </c:cat>
          <c:val>
            <c:numRef>
              <c:f>Orçamento!$D$187:$D$196</c:f>
              <c:numCache>
                <c:formatCode>_-"R$"* #,##0.00_-;\-"R$"* #,##0.00_-;_-"R$"* "-"??_-;_-@_-</c:formatCode>
                <c:ptCount val="10"/>
                <c:pt idx="0">
                  <c:v>80</c:v>
                </c:pt>
                <c:pt idx="1">
                  <c:v>20</c:v>
                </c:pt>
                <c:pt idx="2">
                  <c:v>84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49-4A34-8F72-FEB07A4CA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15</xdr:row>
      <xdr:rowOff>38100</xdr:rowOff>
    </xdr:from>
    <xdr:to>
      <xdr:col>2</xdr:col>
      <xdr:colOff>1285875</xdr:colOff>
      <xdr:row>16</xdr:row>
      <xdr:rowOff>142875</xdr:rowOff>
    </xdr:to>
    <xdr:sp macro="[0]!atualizarDivCkt" textlink="">
      <xdr:nvSpPr>
        <xdr:cNvPr id="2" name="Retângulo: Cantos Arredondados 1" descr="Atualizar">
          <a:extLst>
            <a:ext uri="{FF2B5EF4-FFF2-40B4-BE49-F238E27FC236}">
              <a16:creationId xmlns:a16="http://schemas.microsoft.com/office/drawing/2014/main" id="{2AF0D977-5242-473D-8013-8D9F04489377}"/>
            </a:ext>
          </a:extLst>
        </xdr:cNvPr>
        <xdr:cNvSpPr/>
      </xdr:nvSpPr>
      <xdr:spPr>
        <a:xfrm>
          <a:off x="704850" y="2895600"/>
          <a:ext cx="1190625" cy="2952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133350</xdr:rowOff>
    </xdr:from>
    <xdr:to>
      <xdr:col>1</xdr:col>
      <xdr:colOff>581025</xdr:colOff>
      <xdr:row>0</xdr:row>
      <xdr:rowOff>428625</xdr:rowOff>
    </xdr:to>
    <xdr:sp macro="[0]!atualizarConProt" textlink="">
      <xdr:nvSpPr>
        <xdr:cNvPr id="2" name="Retângulo: Cantos Arredondados 1" descr="Atualizar">
          <a:extLst>
            <a:ext uri="{FF2B5EF4-FFF2-40B4-BE49-F238E27FC236}">
              <a16:creationId xmlns:a16="http://schemas.microsoft.com/office/drawing/2014/main" id="{11677383-FA32-4FB5-99B8-1109619BC859}"/>
            </a:ext>
          </a:extLst>
        </xdr:cNvPr>
        <xdr:cNvSpPr/>
      </xdr:nvSpPr>
      <xdr:spPr>
        <a:xfrm>
          <a:off x="0" y="133350"/>
          <a:ext cx="1190625" cy="2952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13</xdr:row>
      <xdr:rowOff>28575</xdr:rowOff>
    </xdr:from>
    <xdr:to>
      <xdr:col>8</xdr:col>
      <xdr:colOff>180975</xdr:colOff>
      <xdr:row>14</xdr:row>
      <xdr:rowOff>133350</xdr:rowOff>
    </xdr:to>
    <xdr:sp macro="[0]!atualizarConProt" textlink="">
      <xdr:nvSpPr>
        <xdr:cNvPr id="2" name="Retângulo: Cantos Arredondados 1" descr="Atualizar">
          <a:extLst>
            <a:ext uri="{FF2B5EF4-FFF2-40B4-BE49-F238E27FC236}">
              <a16:creationId xmlns:a16="http://schemas.microsoft.com/office/drawing/2014/main" id="{551C55A9-542E-48FB-B7EA-79C934F00022}"/>
            </a:ext>
          </a:extLst>
        </xdr:cNvPr>
        <xdr:cNvSpPr/>
      </xdr:nvSpPr>
      <xdr:spPr>
        <a:xfrm>
          <a:off x="7924800" y="2505075"/>
          <a:ext cx="1190625" cy="2952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185</xdr:row>
      <xdr:rowOff>23811</xdr:rowOff>
    </xdr:from>
    <xdr:to>
      <xdr:col>8</xdr:col>
      <xdr:colOff>962025</xdr:colOff>
      <xdr:row>202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55E4BBC-F7ED-46DD-B444-402500F23F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Wilknis Deyvis" refreshedDate="44912.930531597223" createdVersion="7" refreshedVersion="8" minRefreshableVersion="3" recordCount="21" xr:uid="{099B501F-0159-425F-9201-9D2C06A0C406}">
  <cacheSource type="worksheet">
    <worksheetSource name="Tabela_Dimensionamento"/>
  </cacheSource>
  <cacheFields count="15">
    <cacheField name="Cômodos" numFmtId="0">
      <sharedItems containsBlank="1"/>
    </cacheField>
    <cacheField name="Área (m²)" numFmtId="0">
      <sharedItems containsString="0" containsBlank="1" containsNumber="1" containsInteger="1" minValue="10" maxValue="20"/>
    </cacheField>
    <cacheField name="Perímetro (m)" numFmtId="0">
      <sharedItems containsString="0" containsBlank="1" containsNumber="1" containsInteger="1" minValue="15" maxValue="25"/>
    </cacheField>
    <cacheField name="Tipo" numFmtId="0">
      <sharedItems containsBlank="1"/>
    </cacheField>
    <cacheField name="Div + fração" numFmtId="0">
      <sharedItems containsMixedTypes="1" containsNumber="1" minValue="3.5" maxValue="5"/>
    </cacheField>
    <cacheField name="Qtd (min)" numFmtId="0">
      <sharedItems/>
    </cacheField>
    <cacheField name="Qtd. (mín)" numFmtId="0">
      <sharedItems containsMixedTypes="1" containsNumber="1" containsInteger="1" minValue="3" maxValue="8"/>
    </cacheField>
    <cacheField name="Qtd. Adotada" numFmtId="0">
      <sharedItems containsString="0" containsBlank="1" containsNumber="1" containsInteger="1" minValue="4" maxValue="8"/>
    </cacheField>
    <cacheField name="Observações" numFmtId="0">
      <sharedItems/>
    </cacheField>
    <cacheField name="Pts. de 600 VA" numFmtId="0">
      <sharedItems containsMixedTypes="1" containsNumber="1" containsInteger="1" minValue="0" maxValue="2"/>
    </cacheField>
    <cacheField name="Obs. (600VA)" numFmtId="0">
      <sharedItems/>
    </cacheField>
    <cacheField name="Pot.(VA) TUG" numFmtId="0">
      <sharedItems containsSemiMixedTypes="0" containsString="0" containsNumber="1" containsInteger="1" minValue="0" maxValue="1800"/>
    </cacheField>
    <cacheField name="N° ckt TUG" numFmtId="0">
      <sharedItems containsString="0" containsBlank="1" containsNumber="1" containsInteger="1" minValue="3" maxValue="4" count="3">
        <n v="3"/>
        <n v="4"/>
        <m/>
      </sharedItems>
    </cacheField>
    <cacheField name="Pot.(VA) ilu." numFmtId="0">
      <sharedItems containsMixedTypes="1" containsNumber="1" containsInteger="1" minValue="160" maxValue="280"/>
    </cacheField>
    <cacheField name="N° ckt ilu." numFmtId="0">
      <sharedItems containsString="0" containsBlank="1" containsNumber="1" containsInteger="1" minValue="5" maxValue="6" count="3">
        <n v="5"/>
        <n v="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Cozinha"/>
    <n v="20"/>
    <n v="25"/>
    <s v="Áreas molhadas"/>
    <n v="3.5"/>
    <s v=""/>
    <n v="8"/>
    <n v="8"/>
    <s v="Acima da bancada da pia, 2 TUG's."/>
    <n v="2"/>
    <s v="Se Qtd. TUG &gt; 6, Considera-se 2."/>
    <n v="1800"/>
    <x v="0"/>
    <n v="280"/>
    <x v="0"/>
  </r>
  <r>
    <s v="Quarto"/>
    <n v="10"/>
    <n v="15"/>
    <s v="Salas/Dormitórios"/>
    <n v="5"/>
    <s v=""/>
    <n v="3"/>
    <n v="4"/>
    <s v="Reservar Qtd. de pontos necessárias por TUG."/>
    <s v=""/>
    <s v=""/>
    <n v="400"/>
    <x v="1"/>
    <n v="160"/>
    <x v="1"/>
  </r>
  <r>
    <s v="Sala"/>
    <n v="15"/>
    <n v="20"/>
    <s v="Salas/Dormitórios"/>
    <n v="5"/>
    <s v=""/>
    <n v="4"/>
    <n v="6"/>
    <s v="Reservar Qtd. de pontos necessárias por TUG."/>
    <s v=""/>
    <s v=""/>
    <n v="600"/>
    <x v="1"/>
    <n v="220"/>
    <x v="1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  <r>
    <m/>
    <m/>
    <m/>
    <m/>
    <s v=""/>
    <s v=""/>
    <s v=""/>
    <m/>
    <s v=""/>
    <n v="0"/>
    <s v=""/>
    <n v="0"/>
    <x v="2"/>
    <s v="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7096E-7139-4F6B-AA8E-6AC170D83750}" name="Tabela dinâmica3" cacheId="51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7" indent="0" outline="1" outlineData="1" multipleFieldFilters="0">
  <location ref="F17:G20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 sortType="ascending">
      <items count="4">
        <item x="0"/>
        <item x="1"/>
        <item x="2"/>
        <item t="default"/>
      </items>
    </pivotField>
  </pivotFields>
  <rowFields count="1">
    <field x="14"/>
  </rowFields>
  <rowItems count="3">
    <i>
      <x/>
    </i>
    <i>
      <x v="1"/>
    </i>
    <i>
      <x v="2"/>
    </i>
  </rowItems>
  <colItems count="1">
    <i/>
  </colItems>
  <dataFields count="1">
    <dataField name="Soma de Pot.(VA) ilu." fld="13" baseField="1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F73B55-55E5-41FC-9901-2D7ECACCD84C}" name="Tabela dinâmica2" cacheId="51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7" indent="0" outline="1" outlineData="1" multipleFieldFilters="0">
  <location ref="B17:C20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</pivotFields>
  <rowFields count="1">
    <field x="12"/>
  </rowFields>
  <rowItems count="3">
    <i>
      <x/>
    </i>
    <i>
      <x v="1"/>
    </i>
    <i>
      <x v="2"/>
    </i>
  </rowItems>
  <colItems count="1">
    <i/>
  </colItems>
  <dataFields count="1">
    <dataField name="Soma de Pot.(VA) TUG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58A187-5E80-48F1-B7D6-3316D015D858}" name="Tabela_Dimensionamento" displayName="Tabela_Dimensionamento" ref="B3:P24" totalsRowShown="0" headerRowDxfId="39">
  <autoFilter ref="B3:P24" xr:uid="{BC44A258-80E8-447E-859F-A19DEFFB05FC}"/>
  <sortState xmlns:xlrd2="http://schemas.microsoft.com/office/spreadsheetml/2017/richdata2" ref="B4:P24">
    <sortCondition ref="B3:B24"/>
  </sortState>
  <tableColumns count="15">
    <tableColumn id="2" xr3:uid="{89345141-9A67-4A0B-BBF9-E4782BBFA18D}" name="Cômodos"/>
    <tableColumn id="3" xr3:uid="{71164FBA-884B-446D-A005-EAEB85C7EEA7}" name="Área (m²)" dataDxfId="38"/>
    <tableColumn id="4" xr3:uid="{7F379366-72AB-419A-911A-E3FE7239FC6C}" name="Perímetro (m)" dataDxfId="37"/>
    <tableColumn id="5" xr3:uid="{3FB77345-F9A7-4B39-9382-14B950827E38}" name="Tipo"/>
    <tableColumn id="14" xr3:uid="{2D7F10F2-1076-4B44-BC17-B026C36FA2BE}" name="Div + fração" dataDxfId="36">
      <calculatedColumnFormula>IFERROR(IF(VLOOKUP(Tabela_Dimensionamento[Tipo],Tabela2[],2,FALSE)=0,"",VLOOKUP(Tabela_Dimensionamento[Tipo],Tabela2[],2,FALSE)),"")</calculatedColumnFormula>
    </tableColumn>
    <tableColumn id="13" xr3:uid="{E366F29A-4AA6-4DA1-AEB0-6B6963007365}" name="Qtd (min)" dataDxfId="35">
      <calculatedColumnFormula>IFERROR(IF(VLOOKUP(Tabela_Dimensionamento[Tipo],Tabela2[],3,FALSE)="","",VLOOKUP(Tabela_Dimensionamento[Tipo],Tabela2[],3,FALSE)),"")</calculatedColumnFormula>
    </tableColumn>
    <tableColumn id="6" xr3:uid="{730BC3D2-5364-455B-837C-B8EDE05554EC}" name="Qtd. (mín)" dataDxfId="34">
      <calculatedColumnFormula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calculatedColumnFormula>
    </tableColumn>
    <tableColumn id="1" xr3:uid="{47CA22C1-E612-45DB-B90A-EB60D9C9A675}" name="Qtd. Adotada" dataDxfId="33"/>
    <tableColumn id="7" xr3:uid="{71001318-6784-4182-8C80-F1654917800A}" name="Observações" dataDxfId="32">
      <calculatedColumnFormula>IFERROR(IF(VLOOKUP(Tabela_Dimensionamento[Tipo],Tabela2[],4,FALSE)=0,"",VLOOKUP(Tabela_Dimensionamento[Tipo],Tabela2[],4,FALSE)),"")</calculatedColumnFormula>
    </tableColumn>
    <tableColumn id="8" xr3:uid="{E5F41299-9E91-43C7-9699-A6570A391232}" name="Pts. de 600 VA" dataDxfId="31">
      <calculatedColumnFormula>IF(AND(Tabela_Dimensionamento[[#This Row],[Obs. (600VA)]]=Sistema!$G$4,Tabela_Dimensionamento[[#This Row],[Qtd. Adotada]]&gt;6),2,IFERROR(IF(VLOOKUP(Tabela_Dimensionamento[Tipo],Tabela2[],5,FALSE)=0,"",VLOOKUP(Tabela_Dimensionamento[Tipo],Tabela2[],5,FALSE)),))</calculatedColumnFormula>
    </tableColumn>
    <tableColumn id="9" xr3:uid="{7BE0A425-0CA9-4C93-A46D-85F00EDFD43A}" name="Obs. (600VA)" dataDxfId="30">
      <calculatedColumnFormula>IFERROR(IF(VLOOKUP(Tabela_Dimensionamento[Tipo],Tabela2[],6,FALSE)=0,"",VLOOKUP(Tabela_Dimensionamento[Tipo],Tabela2[],6,FALSE)),"")</calculatedColumnFormula>
    </tableColumn>
    <tableColumn id="17" xr3:uid="{EF41109A-FCB1-41C8-AF0E-25FFB6EF243D}" name="Pot.(VA) TUG" dataDxfId="29">
      <calculatedColumnFormula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calculatedColumnFormula>
    </tableColumn>
    <tableColumn id="10" xr3:uid="{02865FAE-CD56-4C1F-84E5-892C53F80D32}" name="N° ckt TUG" dataDxfId="28"/>
    <tableColumn id="16" xr3:uid="{6C40A1D8-6E4D-415A-884E-0D7B0658776E}" name="Pot.(VA) ilu." dataDxfId="27">
      <calculatedColumnFormula>IF(Tabela_Dimensionamento[Área (m²)]="","",IF(Tabela_Dimensionamento[Área (m²)]&lt;=6,100,100+60*ROUNDDOWN((Tabela_Dimensionamento[Área (m²)]-6)/4,0)))</calculatedColumnFormula>
    </tableColumn>
    <tableColumn id="12" xr3:uid="{07149231-082C-4828-817D-CEF4E01E6260}" name="N° ckt ilu." dataDxfId="26">
      <calculatedColumnFormula>IF(Tabela_Dimensionamento[Área (m²)]="","",IF(Tabela_Dimensionamento[Área (m²)]&lt;=6,100,100+60*ROUNDDOWN((Tabela_Dimensionamento[Área (m²)]-6)/4,0)))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742622-18AC-43B5-A5F5-764AA54B12C8}" name="Tabela_Ckt_TUE" displayName="Tabela_Ckt_TUE" ref="B3:H14" totalsRowShown="0">
  <autoFilter ref="B3:H14" xr:uid="{D52625D3-CFD9-47FF-8FAA-8F76B73ABB4F}"/>
  <tableColumns count="7">
    <tableColumn id="1" xr3:uid="{97F5FAFD-7070-4FB1-BE0D-1D95F2D0AC23}" name="N°"/>
    <tableColumn id="6" xr3:uid="{FAD72964-4067-42DE-8F43-07934EC05D6F}" name="Aplicação"/>
    <tableColumn id="2" xr3:uid="{C374C440-5FAA-463B-9905-31055F49A34E}" name="Cômodo"/>
    <tableColumn id="9" xr3:uid="{8F81B49F-A2BD-4340-AAEF-C8E95921DD98}" name="Potência (W)" dataDxfId="24"/>
    <tableColumn id="3" xr3:uid="{F32CB536-CED5-444E-A6B4-8A8E2863C02D}" name="FP"/>
    <tableColumn id="8" xr3:uid="{BB3522FF-D95B-4DD0-9E25-4C8CF12EA934}" name="Corrente" dataDxfId="23">
      <calculatedColumnFormula>Tabela_Ckt_TUE[[#This Row],[Potência (VA)]]/$D$17</calculatedColumnFormula>
    </tableColumn>
    <tableColumn id="4" xr3:uid="{6EEBFCCD-C2D3-437D-A3D7-2ED050C51B2C}" name="Potência (VA)" dataDxfId="22">
      <calculatedColumnFormula>Tabela_Ckt_TUE[[#This Row],[Potência (W)]]/Tabela_Ckt_TUE[[#This Row],[FP]]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44B87F-730A-4B09-ADA4-17A751297245}" name="Tabela_Ckt_TUG" displayName="Tabela_Ckt_TUG" ref="J3:L14" totalsRowShown="0">
  <autoFilter ref="J3:L14" xr:uid="{4160130D-1B71-4FF3-BD13-CEE5159CCF7F}"/>
  <tableColumns count="3">
    <tableColumn id="1" xr3:uid="{74AB328D-B42E-482C-8C66-C373D5C0BFE1}" name="N°" dataDxfId="21">
      <calculatedColumnFormula>Sistema!B18</calculatedColumnFormula>
    </tableColumn>
    <tableColumn id="6" xr3:uid="{60FAE223-9C72-45A4-B6A7-DA3CDEEACEDD}" name="Corrente (A)" dataDxfId="20">
      <calculatedColumnFormula>Tabela_Ckt_TUG[Potência (W)]/$D$17</calculatedColumnFormula>
    </tableColumn>
    <tableColumn id="3" xr3:uid="{616CB810-7F1B-44AD-9FFB-BB67CFC12A90}" name="Potência (W)" dataDxfId="19">
      <calculatedColumnFormula>Sistema!C18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923855-6EEA-4B8B-BC00-4C105C5699A3}" name="Tabela_Ckt_Ilu." displayName="Tabela_Ckt_Ilu." ref="N3:P14" totalsRowShown="0">
  <autoFilter ref="N3:P14" xr:uid="{7A024A86-393D-4686-B7A1-4CFFDA4100AE}"/>
  <tableColumns count="3">
    <tableColumn id="1" xr3:uid="{EA6BEFDA-EDDB-4779-A28A-B75E204E774F}" name="N°" dataDxfId="18">
      <calculatedColumnFormula>Sistema!F18</calculatedColumnFormula>
    </tableColumn>
    <tableColumn id="6" xr3:uid="{9943D19B-21E7-4EB7-810B-F45050A02137}" name="Corrente (A)" dataDxfId="17">
      <calculatedColumnFormula>Tabela_Ckt_Ilu.[Potência (W)]/$D$17</calculatedColumnFormula>
    </tableColumn>
    <tableColumn id="3" xr3:uid="{09D0F476-F067-40AC-B4DF-8284AE228E29}" name="Potência (W)" dataDxfId="16">
      <calculatedColumnFormula>Sistema!G18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43B5A9-5251-49F3-93E0-BAF3980A4810}" name="Tabela6" displayName="Tabela6" ref="B3:F134" totalsRowShown="0">
  <autoFilter ref="B3:F134" xr:uid="{F84B10CE-8795-40D6-8A23-3B90E66C5BFF}"/>
  <sortState xmlns:xlrd2="http://schemas.microsoft.com/office/spreadsheetml/2017/richdata2" ref="B4:F134">
    <sortCondition ref="B3:B134"/>
  </sortState>
  <tableColumns count="5">
    <tableColumn id="1" xr3:uid="{A90E7E4C-8441-40CC-996F-ACC8AF34C75A}" name="N° Circuito" dataDxfId="15"/>
    <tableColumn id="2" xr3:uid="{6BEC666A-30C7-4483-A410-B524CEAAA8EC}" name="Potência (VA)" dataDxfId="14"/>
    <tableColumn id="3" xr3:uid="{B9AB4F1B-D2DC-4CB8-9D44-E1C6804A19B2}" name="Condutor (mm²)" dataDxfId="13">
      <calculatedColumnFormula>Condutores!S5</calculatedColumnFormula>
    </tableColumn>
    <tableColumn id="4" xr3:uid="{7FEFBE05-84C5-47BB-94F4-643471249CCE}" name="Corrente (A) ajustada" dataDxfId="12">
      <calculatedColumnFormula>Condutores!I5</calculatedColumnFormula>
    </tableColumn>
    <tableColumn id="5" xr3:uid="{FE696741-C992-4DD9-A21B-B6D5BAABA76C}" name="Disjuntor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271295-A2D1-4AA5-90E4-367E5ACAF578}" name="Tabela7" displayName="Tabela7" ref="B2:E17" totalsRowShown="0">
  <autoFilter ref="B2:E17" xr:uid="{8A396BEA-B9AD-4320-BF45-313E4C7F6A5F}"/>
  <tableColumns count="4">
    <tableColumn id="1" xr3:uid="{6E96F75A-49B2-42E0-8B0E-F2524EFD0B77}" name="TUG"/>
    <tableColumn id="2" xr3:uid="{E2167288-31E8-45B4-8C62-72CD408A04F9}" name="Qtd"/>
    <tableColumn id="3" xr3:uid="{F772E7C7-E2C4-455E-B08E-78AE1FE64BB5}" name="F. desperdiço (%)"/>
    <tableColumn id="4" xr3:uid="{9496E164-8501-47CC-BE8B-CADB3585D7FD}" name="Qtd final" dataDxfId="11">
      <calculatedColumnFormula>ROUNDUP(C3*D3,0)</calculatedColumnFormula>
    </tableColumn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DA6289-E0BA-47F8-B6BB-7CAE9EE0236D}" name="Tabela79" displayName="Tabela79" ref="G2:J17" totalsRowShown="0">
  <autoFilter ref="G2:J17" xr:uid="{E83DB171-9C0A-431F-B25B-09420075210C}"/>
  <tableColumns count="4">
    <tableColumn id="1" xr3:uid="{5B2440EE-47EA-4A6F-90A1-FCB367AC7792}" name="TUE"/>
    <tableColumn id="2" xr3:uid="{4EB4A7FD-44A5-43FD-9E73-F21DCC3D07B8}" name="Qtd"/>
    <tableColumn id="3" xr3:uid="{7E08D82E-E774-48CC-985C-EB4D0022E2A9}" name="F. desperdiço (%)"/>
    <tableColumn id="4" xr3:uid="{77174108-1F4D-4745-B747-394AAC7390CB}" name="Qtd final" dataDxfId="10">
      <calculatedColumnFormula>ROUNDUP(H3*I3,0)</calculatedColumnFormula>
    </tableColumn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808999-CF3A-42BD-A6AD-C4FEFC77D976}" name="Tabela710" displayName="Tabela710" ref="L2:O17" totalsRowShown="0">
  <autoFilter ref="L2:O17" xr:uid="{5ABB0692-522F-4AA2-B00D-AAFE1AFC1A74}"/>
  <tableColumns count="4">
    <tableColumn id="1" xr3:uid="{0593E23C-C204-4BF4-92A6-34B865F82480}" name="Interruptores"/>
    <tableColumn id="2" xr3:uid="{326DDFBC-280E-4EAC-8018-BF4467BD691D}" name="Qtd"/>
    <tableColumn id="3" xr3:uid="{BA3DE0F7-4428-473A-BAFF-BE61349F13B7}" name="F. desperdiço (%)"/>
    <tableColumn id="4" xr3:uid="{B4A91891-1DD4-4036-838B-54F99968FEDD}" name="Qtd final" dataDxfId="9">
      <calculatedColumnFormula>ROUNDUP(M3*N3,0)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E00769C-57DA-4A7D-90C8-C6DD758FF4F8}" name="Tabela711" displayName="Tabela711" ref="Q2:T17" totalsRowShown="0">
  <autoFilter ref="Q2:T17" xr:uid="{47CB0AFC-5677-4F63-8D39-5ED4F57C3AB6}"/>
  <tableColumns count="4">
    <tableColumn id="1" xr3:uid="{FE0D7D8C-51C9-4D89-A865-585DA113BC7E}" name="Luminárias"/>
    <tableColumn id="2" xr3:uid="{6FC3DE00-D818-4CD9-8981-706645C8D596}" name="Qtd"/>
    <tableColumn id="3" xr3:uid="{AF3D51CE-8D6A-446F-8A26-75D1A8D5D3AA}" name="F. desperdiço (%)"/>
    <tableColumn id="4" xr3:uid="{BBFAC00C-10BF-4390-80B0-6A42F17A4BD9}" name="Qtd final" dataDxfId="8">
      <calculatedColumnFormula>ROUNDUP(R3*S3,0)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30FD26-5308-49D9-8189-EB0282C85AC2}" name="Tabela71112" displayName="Tabela71112" ref="V2:Y17" totalsRowShown="0">
  <autoFilter ref="V2:Y17" xr:uid="{27F4C607-B731-433C-9819-3A367B26A110}"/>
  <tableColumns count="4">
    <tableColumn id="1" xr3:uid="{E2966C3A-5697-417A-A94C-B39A7EC8F8E5}" name="Condutores"/>
    <tableColumn id="2" xr3:uid="{5CF3C271-45BB-4BF6-A34D-C3591BF5FAFC}" name="Qtd"/>
    <tableColumn id="3" xr3:uid="{73E8D1FD-A7FE-4ACD-8501-53C7A3AC96F1}" name="F. desperdiço (%)"/>
    <tableColumn id="4" xr3:uid="{22AA80F2-21D7-423D-A226-9A2E84041108}" name="Qtd final" dataDxfId="7">
      <calculatedColumnFormula>ROUNDUP(W3*X3,0)</calculatedColumnFormula>
    </tableColumn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1589253-164C-434A-8FC9-B4274D3D71A9}" name="Tabela71113" displayName="Tabela71113" ref="AA2:AD17" totalsRowShown="0">
  <autoFilter ref="AA2:AD17" xr:uid="{D055E92C-B2BE-425E-AED1-405EB6A5EF86}"/>
  <tableColumns count="4">
    <tableColumn id="1" xr3:uid="{87497F3E-5052-4FD1-99CE-7FC58B26D3C3}" name="Eletrodutos"/>
    <tableColumn id="2" xr3:uid="{2AEF2029-533E-4B05-A74B-CCCE3BE711D7}" name="Qtd"/>
    <tableColumn id="3" xr3:uid="{FCAA471E-5EA2-4D4F-96D0-42BC99257976}" name="F. desperdiço (%)"/>
    <tableColumn id="4" xr3:uid="{04AF194D-4F4E-4E31-885A-B4AC476395C8}" name="Qtd final" dataDxfId="6">
      <calculatedColumnFormula>ROUNDUP(AB3*AC3,0)</calculatedColumnFormula>
    </tableColumn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8BB4D5F-EA01-4234-A3E9-2EFFF510BBE1}" name="Tabela7111314" displayName="Tabela7111314" ref="AF2:AI17" totalsRowShown="0">
  <autoFilter ref="AF2:AI17" xr:uid="{ACEE4194-C0CA-4B59-90D1-B04D8952F1C2}"/>
  <tableColumns count="4">
    <tableColumn id="1" xr3:uid="{177C332E-367A-479B-A93F-30816DF5ACB7}" name="Caixa de passagem"/>
    <tableColumn id="2" xr3:uid="{ECCCDC96-2F48-4AA5-A1F9-974364B42157}" name="Qtd"/>
    <tableColumn id="3" xr3:uid="{90E2F944-010E-4660-87B7-5DCB66E55D34}" name="F. desperdiço (%)"/>
    <tableColumn id="4" xr3:uid="{06EECE25-DF68-4A95-B7A3-070465897C5D}" name="Qtd final" dataDxfId="5">
      <calculatedColumnFormula>ROUNDUP(AG3*AH3,0)</calculatedColumnFormula>
    </tableColumn>
  </tableColumns>
  <tableStyleInfo name="TableStyleMedium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2FAFBD7-80C6-4A48-AC61-670E325D4511}" name="Tabela711131415" displayName="Tabela711131415" ref="AK2:AN17" totalsRowShown="0">
  <autoFilter ref="AK2:AN17" xr:uid="{90F689A7-208B-44A6-9029-AF895B8F6703}"/>
  <tableColumns count="4">
    <tableColumn id="1" xr3:uid="{16B21760-0C11-43BA-A96E-E38CD532A185}" name="Proteção"/>
    <tableColumn id="2" xr3:uid="{4D128950-F1E2-4907-8CE0-5741B29971F9}" name="Qtd"/>
    <tableColumn id="3" xr3:uid="{AE6E5EA9-CABE-4B69-B092-DB17CC68ECBF}" name="F. desperdiço (%)"/>
    <tableColumn id="4" xr3:uid="{7E01394B-6222-4E13-AF93-743914290D6D}" name="Qtd final" dataDxfId="4">
      <calculatedColumnFormula>ROUNDUP(AL3*AM3,0)</calculatedColumnFormula>
    </tableColumn>
  </tableColumns>
  <tableStyleInfo name="TableStyleMedium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5A417BC-B551-4E41-B84F-DA55425D1B05}" name="Tabela71113141516" displayName="Tabela71113141516" ref="AP2:AS17" totalsRowShown="0">
  <autoFilter ref="AP2:AS17" xr:uid="{340751AF-27C1-4FCC-8B3F-A26394CB3FF0}"/>
  <tableColumns count="4">
    <tableColumn id="1" xr3:uid="{314E0163-04CF-4367-9AE5-294E329D1B5E}" name="Qd e padrão de entrada"/>
    <tableColumn id="2" xr3:uid="{40CB9032-F6F0-44EC-A922-23357E9630BD}" name="Qtd"/>
    <tableColumn id="3" xr3:uid="{CF8C2FF1-1861-4E12-B8DC-EBE0E2FC6ED6}" name="F. desperdiço (%)"/>
    <tableColumn id="4" xr3:uid="{A6A070DA-FCF5-46EA-B520-26FF00A749EB}" name="Qtd final" dataDxfId="3">
      <calculatedColumnFormula>ROUNDUP(AQ3*AR3,0)</calculatedColumnFormula>
    </tableColumn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8A28D65-C6C4-4CE0-B6DA-F20928A386EC}" name="Tabela71113141517" displayName="Tabela71113141517" ref="AU2:AX17" totalsRowShown="0">
  <autoFilter ref="AU2:AX17" xr:uid="{7C3EC7FA-13AF-45FF-A975-0231A206AB70}"/>
  <tableColumns count="4">
    <tableColumn id="1" xr3:uid="{5AC75741-E8E9-45F1-B2C9-125BF7EE03E0}" name="Outros"/>
    <tableColumn id="2" xr3:uid="{FD20F23F-B2B4-4F4D-AA29-86B8BFF074DE}" name="Qtd"/>
    <tableColumn id="3" xr3:uid="{8194E42F-0961-42DF-8042-D2CDE6C1CB5E}" name="F. desperdiço (%)"/>
    <tableColumn id="4" xr3:uid="{91CAAD52-8C31-42CD-926E-CB491232397C}" name="Qtd final" dataDxfId="2">
      <calculatedColumnFormula>ROUNDUP(AV3*AW3,0)</calculatedColumnFormula>
    </tableColumn>
  </tableColumns>
  <tableStyleInfo name="TableStyleMedium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C787D2-4302-4ADF-A1D1-329ADAEA97DC}" name="Tabela2" displayName="Tabela2" ref="B2:G11" totalsRowShown="0" headerRowDxfId="1">
  <autoFilter ref="B2:G11" xr:uid="{31C19E41-F562-493E-A5AE-6A769478102F}"/>
  <tableColumns count="6">
    <tableColumn id="1" xr3:uid="{E23C6741-B144-4B83-9622-2BA31C5A01AC}" name="Tipo de ambiente"/>
    <tableColumn id="2" xr3:uid="{BC95E8B3-C436-4271-9D73-979FA530A164}" name="Div + fração"/>
    <tableColumn id="3" xr3:uid="{37FE15EC-6172-4E34-9E78-259441A06626}" name="Qtd (min)" dataDxfId="0"/>
    <tableColumn id="4" xr3:uid="{B0E26B87-317D-4336-B757-C1D15D9C3A9B}" name="Observações"/>
    <tableColumn id="5" xr3:uid="{D8CDEE61-F39A-42B6-9FFF-A7711EC86B42}" name="Qtd (600VA)"/>
    <tableColumn id="6" xr3:uid="{1A01A8EC-39E7-4A74-BE39-06B940CA7905}" name="Obs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P24"/>
  <sheetViews>
    <sheetView workbookViewId="0">
      <pane xSplit="2" topLeftCell="H1" activePane="topRight" state="frozen"/>
      <selection pane="topRight" activeCell="J7" sqref="J7"/>
    </sheetView>
  </sheetViews>
  <sheetFormatPr defaultRowHeight="15" x14ac:dyDescent="0.25"/>
  <cols>
    <col min="1" max="1" width="0" hidden="1" customWidth="1"/>
    <col min="2" max="2" width="15.140625" customWidth="1"/>
    <col min="3" max="3" width="11.7109375" bestFit="1" customWidth="1"/>
    <col min="4" max="4" width="16" bestFit="1" customWidth="1"/>
    <col min="5" max="5" width="17.28515625" customWidth="1"/>
    <col min="6" max="6" width="15.7109375" hidden="1" customWidth="1"/>
    <col min="7" max="7" width="14.140625" hidden="1" customWidth="1"/>
    <col min="8" max="8" width="12.42578125" bestFit="1" customWidth="1"/>
    <col min="9" max="9" width="15" bestFit="1" customWidth="1"/>
    <col min="10" max="10" width="43.28515625" bestFit="1" customWidth="1"/>
    <col min="11" max="11" width="15.85546875" bestFit="1" customWidth="1"/>
    <col min="12" max="12" width="29" customWidth="1"/>
    <col min="13" max="13" width="15.140625" bestFit="1" customWidth="1"/>
    <col min="14" max="14" width="12.7109375" bestFit="1" customWidth="1"/>
    <col min="15" max="15" width="14.140625" bestFit="1" customWidth="1"/>
    <col min="16" max="16" width="11.7109375" bestFit="1" customWidth="1"/>
  </cols>
  <sheetData>
    <row r="2" spans="2:16" x14ac:dyDescent="0.25">
      <c r="B2" s="71" t="s">
        <v>32</v>
      </c>
      <c r="C2" s="71"/>
      <c r="D2" s="71"/>
      <c r="E2" s="71"/>
      <c r="H2" s="70" t="s">
        <v>24</v>
      </c>
      <c r="I2" s="70"/>
      <c r="J2" s="70"/>
      <c r="K2" s="70"/>
      <c r="L2" s="70"/>
      <c r="M2" s="10"/>
      <c r="N2" s="10"/>
      <c r="O2" s="71" t="s">
        <v>25</v>
      </c>
      <c r="P2" s="71"/>
    </row>
    <row r="3" spans="2:16" x14ac:dyDescent="0.25">
      <c r="B3" s="41" t="s">
        <v>0</v>
      </c>
      <c r="C3" s="41" t="s">
        <v>18</v>
      </c>
      <c r="D3" s="41" t="s">
        <v>19</v>
      </c>
      <c r="E3" s="41" t="s">
        <v>17</v>
      </c>
      <c r="F3" s="41" t="s">
        <v>15</v>
      </c>
      <c r="G3" s="41" t="s">
        <v>10</v>
      </c>
      <c r="H3" s="41" t="s">
        <v>72</v>
      </c>
      <c r="I3" s="41" t="s">
        <v>74</v>
      </c>
      <c r="J3" s="41" t="s">
        <v>9</v>
      </c>
      <c r="K3" s="41" t="s">
        <v>73</v>
      </c>
      <c r="L3" s="41" t="s">
        <v>71</v>
      </c>
      <c r="M3" s="41" t="s">
        <v>100</v>
      </c>
      <c r="N3" s="41" t="s">
        <v>96</v>
      </c>
      <c r="O3" s="41" t="s">
        <v>99</v>
      </c>
      <c r="P3" s="41" t="s">
        <v>95</v>
      </c>
    </row>
    <row r="4" spans="2:16" x14ac:dyDescent="0.25">
      <c r="B4" t="s">
        <v>92</v>
      </c>
      <c r="C4" s="1">
        <v>20</v>
      </c>
      <c r="D4" s="1">
        <v>25</v>
      </c>
      <c r="E4" t="s">
        <v>3</v>
      </c>
      <c r="F4">
        <f>IFERROR(IF(VLOOKUP(Tabela_Dimensionamento[Tipo],Tabela2[],2,FALSE)=0,"",VLOOKUP(Tabela_Dimensionamento[Tipo],Tabela2[],2,FALSE)),"")</f>
        <v>3.5</v>
      </c>
      <c r="G4" t="str">
        <f>IFERROR(IF(VLOOKUP(Tabela_Dimensionamento[Tipo],Tabela2[],3,FALSE)="","",VLOOKUP(Tabela_Dimensionamento[Tipo],Tabela2[],3,FALSE)),"")</f>
        <v/>
      </c>
      <c r="H4" s="44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>8</v>
      </c>
      <c r="I4" s="1">
        <v>8</v>
      </c>
      <c r="J4" s="45" t="str">
        <f>IFERROR(IF(VLOOKUP(Tabela_Dimensionamento[Tipo],Tabela2[],4,FALSE)=0,"",VLOOKUP(Tabela_Dimensionamento[Tipo],Tabela2[],4,FALSE)),"")</f>
        <v>Acima da bancada da pia, 2 TUG's.</v>
      </c>
      <c r="K4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2</v>
      </c>
      <c r="L4" s="45" t="str">
        <f>IFERROR(IF(VLOOKUP(Tabela_Dimensionamento[Tipo],Tabela2[],6,FALSE)=0,"",VLOOKUP(Tabela_Dimensionamento[Tipo],Tabela2[],6,FALSE)),"")</f>
        <v>Se Qtd. TUG &gt; 6, Considera-se 2.</v>
      </c>
      <c r="M4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1800</v>
      </c>
      <c r="N4" s="43">
        <v>3</v>
      </c>
      <c r="O4" s="44">
        <f>IF(Tabela_Dimensionamento[Área (m²)]="","",IF(Tabela_Dimensionamento[Área (m²)]&lt;=6,100,100+60*ROUNDDOWN((Tabela_Dimensionamento[Área (m²)]-6)/4,0)))</f>
        <v>280</v>
      </c>
      <c r="P4" s="43">
        <v>5</v>
      </c>
    </row>
    <row r="5" spans="2:16" x14ac:dyDescent="0.25">
      <c r="B5" t="s">
        <v>70</v>
      </c>
      <c r="C5" s="1">
        <v>10</v>
      </c>
      <c r="D5" s="1">
        <v>15</v>
      </c>
      <c r="E5" t="s">
        <v>5</v>
      </c>
      <c r="F5">
        <f>IFERROR(IF(VLOOKUP(Tabela_Dimensionamento[Tipo],Tabela2[],2,FALSE)=0,"",VLOOKUP(Tabela_Dimensionamento[Tipo],Tabela2[],2,FALSE)),"")</f>
        <v>5</v>
      </c>
      <c r="G5" t="str">
        <f>IFERROR(IF(VLOOKUP(Tabela_Dimensionamento[Tipo],Tabela2[],3,FALSE)="","",VLOOKUP(Tabela_Dimensionamento[Tipo],Tabela2[],3,FALSE)),"")</f>
        <v/>
      </c>
      <c r="H5" s="44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>3</v>
      </c>
      <c r="I5" s="1">
        <v>4</v>
      </c>
      <c r="J5" s="45" t="str">
        <f>IFERROR(IF(VLOOKUP(Tabela_Dimensionamento[Tipo],Tabela2[],4,FALSE)=0,"",VLOOKUP(Tabela_Dimensionamento[Tipo],Tabela2[],4,FALSE)),"")</f>
        <v>Reservar Qtd. de pontos necessárias por TUG.</v>
      </c>
      <c r="K5" s="46" t="str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/>
      </c>
      <c r="L5" s="45" t="str">
        <f>IFERROR(IF(VLOOKUP(Tabela_Dimensionamento[Tipo],Tabela2[],6,FALSE)=0,"",VLOOKUP(Tabela_Dimensionamento[Tipo],Tabela2[],6,FALSE)),"")</f>
        <v/>
      </c>
      <c r="M5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400</v>
      </c>
      <c r="N5" s="43">
        <v>4</v>
      </c>
      <c r="O5" s="44">
        <f>IF(Tabela_Dimensionamento[Área (m²)]="","",IF(Tabela_Dimensionamento[Área (m²)]&lt;=6,100,100+60*ROUNDDOWN((Tabela_Dimensionamento[Área (m²)]-6)/4,0)))</f>
        <v>160</v>
      </c>
      <c r="P5" s="43">
        <v>6</v>
      </c>
    </row>
    <row r="6" spans="2:16" x14ac:dyDescent="0.25">
      <c r="B6" t="s">
        <v>91</v>
      </c>
      <c r="C6" s="1">
        <v>15</v>
      </c>
      <c r="D6" s="1">
        <v>20</v>
      </c>
      <c r="E6" t="s">
        <v>5</v>
      </c>
      <c r="F6">
        <f>IFERROR(IF(VLOOKUP(Tabela_Dimensionamento[Tipo],Tabela2[],2,FALSE)=0,"",VLOOKUP(Tabela_Dimensionamento[Tipo],Tabela2[],2,FALSE)),"")</f>
        <v>5</v>
      </c>
      <c r="G6" t="str">
        <f>IFERROR(IF(VLOOKUP(Tabela_Dimensionamento[Tipo],Tabela2[],3,FALSE)="","",VLOOKUP(Tabela_Dimensionamento[Tipo],Tabela2[],3,FALSE)),"")</f>
        <v/>
      </c>
      <c r="H6" s="44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>4</v>
      </c>
      <c r="I6" s="1">
        <v>6</v>
      </c>
      <c r="J6" s="45" t="str">
        <f>IFERROR(IF(VLOOKUP(Tabela_Dimensionamento[Tipo],Tabela2[],4,FALSE)=0,"",VLOOKUP(Tabela_Dimensionamento[Tipo],Tabela2[],4,FALSE)),"")</f>
        <v>Reservar Qtd. de pontos necessárias por TUG.</v>
      </c>
      <c r="K6" s="46" t="str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/>
      </c>
      <c r="L6" s="45" t="str">
        <f>IFERROR(IF(VLOOKUP(Tabela_Dimensionamento[Tipo],Tabela2[],6,FALSE)=0,"",VLOOKUP(Tabela_Dimensionamento[Tipo],Tabela2[],6,FALSE)),"")</f>
        <v/>
      </c>
      <c r="M6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600</v>
      </c>
      <c r="N6" s="43">
        <v>4</v>
      </c>
      <c r="O6" s="44">
        <f>IF(Tabela_Dimensionamento[Área (m²)]="","",IF(Tabela_Dimensionamento[Área (m²)]&lt;=6,100,100+60*ROUNDDOWN((Tabela_Dimensionamento[Área (m²)]-6)/4,0)))</f>
        <v>220</v>
      </c>
      <c r="P6" s="43">
        <v>6</v>
      </c>
    </row>
    <row r="7" spans="2:16" x14ac:dyDescent="0.25">
      <c r="C7" s="1"/>
      <c r="D7" s="1"/>
      <c r="F7" t="str">
        <f>IFERROR(IF(VLOOKUP(Tabela_Dimensionamento[Tipo],Tabela2[],2,FALSE)=0,"",VLOOKUP(Tabela_Dimensionamento[Tipo],Tabela2[],2,FALSE)),"")</f>
        <v/>
      </c>
      <c r="G7" t="str">
        <f>IFERROR(IF(VLOOKUP(Tabela_Dimensionamento[Tipo],Tabela2[],3,FALSE)="","",VLOOKUP(Tabela_Dimensionamento[Tipo],Tabela2[],3,FALSE)),"")</f>
        <v/>
      </c>
      <c r="H7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7" s="1"/>
      <c r="J7" s="45" t="str">
        <f>IFERROR(IF(VLOOKUP(Tabela_Dimensionamento[Tipo],Tabela2[],4,FALSE)=0,"",VLOOKUP(Tabela_Dimensionamento[Tipo],Tabela2[],4,FALSE)),"")</f>
        <v/>
      </c>
      <c r="K7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7" s="45" t="str">
        <f>IFERROR(IF(VLOOKUP(Tabela_Dimensionamento[Tipo],Tabela2[],6,FALSE)=0,"",VLOOKUP(Tabela_Dimensionamento[Tipo],Tabela2[],6,FALSE)),"")</f>
        <v/>
      </c>
      <c r="M7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7" s="43"/>
      <c r="O7" s="44" t="str">
        <f>IF(Tabela_Dimensionamento[Área (m²)]="","",IF(Tabela_Dimensionamento[Área (m²)]&lt;=6,100,100+60*ROUNDDOWN((Tabela_Dimensionamento[Área (m²)]-6)/4,0)))</f>
        <v/>
      </c>
      <c r="P7" s="43"/>
    </row>
    <row r="8" spans="2:16" x14ac:dyDescent="0.25">
      <c r="C8" s="1"/>
      <c r="D8" s="1"/>
      <c r="F8" t="str">
        <f>IFERROR(IF(VLOOKUP(Tabela_Dimensionamento[Tipo],Tabela2[],2,FALSE)=0,"",VLOOKUP(Tabela_Dimensionamento[Tipo],Tabela2[],2,FALSE)),"")</f>
        <v/>
      </c>
      <c r="G8" t="str">
        <f>IFERROR(IF(VLOOKUP(Tabela_Dimensionamento[Tipo],Tabela2[],3,FALSE)="","",VLOOKUP(Tabela_Dimensionamento[Tipo],Tabela2[],3,FALSE)),"")</f>
        <v/>
      </c>
      <c r="H8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8" s="1"/>
      <c r="J8" s="45" t="str">
        <f>IFERROR(IF(VLOOKUP(Tabela_Dimensionamento[Tipo],Tabela2[],4,FALSE)=0,"",VLOOKUP(Tabela_Dimensionamento[Tipo],Tabela2[],4,FALSE)),"")</f>
        <v/>
      </c>
      <c r="K8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8" s="45" t="str">
        <f>IFERROR(IF(VLOOKUP(Tabela_Dimensionamento[Tipo],Tabela2[],6,FALSE)=0,"",VLOOKUP(Tabela_Dimensionamento[Tipo],Tabela2[],6,FALSE)),"")</f>
        <v/>
      </c>
      <c r="M8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8" s="43"/>
      <c r="O8" s="44" t="str">
        <f>IF(Tabela_Dimensionamento[Área (m²)]="","",IF(Tabela_Dimensionamento[Área (m²)]&lt;=6,100,100+60*ROUNDDOWN((Tabela_Dimensionamento[Área (m²)]-6)/4,0)))</f>
        <v/>
      </c>
      <c r="P8" s="43"/>
    </row>
    <row r="9" spans="2:16" x14ac:dyDescent="0.25">
      <c r="C9" s="1"/>
      <c r="D9" s="1"/>
      <c r="F9" t="str">
        <f>IFERROR(IF(VLOOKUP(Tabela_Dimensionamento[Tipo],Tabela2[],2,FALSE)=0,"",VLOOKUP(Tabela_Dimensionamento[Tipo],Tabela2[],2,FALSE)),"")</f>
        <v/>
      </c>
      <c r="G9" t="str">
        <f>IFERROR(IF(VLOOKUP(Tabela_Dimensionamento[Tipo],Tabela2[],3,FALSE)="","",VLOOKUP(Tabela_Dimensionamento[Tipo],Tabela2[],3,FALSE)),"")</f>
        <v/>
      </c>
      <c r="H9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9" s="1"/>
      <c r="J9" s="45" t="str">
        <f>IFERROR(IF(VLOOKUP(Tabela_Dimensionamento[Tipo],Tabela2[],4,FALSE)=0,"",VLOOKUP(Tabela_Dimensionamento[Tipo],Tabela2[],4,FALSE)),"")</f>
        <v/>
      </c>
      <c r="K9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9" s="45" t="str">
        <f>IFERROR(IF(VLOOKUP(Tabela_Dimensionamento[Tipo],Tabela2[],6,FALSE)=0,"",VLOOKUP(Tabela_Dimensionamento[Tipo],Tabela2[],6,FALSE)),"")</f>
        <v/>
      </c>
      <c r="M9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9" s="43"/>
      <c r="O9" s="44" t="str">
        <f>IF(Tabela_Dimensionamento[Área (m²)]="","",IF(Tabela_Dimensionamento[Área (m²)]&lt;=6,100,100+60*ROUNDDOWN((Tabela_Dimensionamento[Área (m²)]-6)/4,0)))</f>
        <v/>
      </c>
      <c r="P9" s="43"/>
    </row>
    <row r="10" spans="2:16" x14ac:dyDescent="0.25">
      <c r="C10" s="1"/>
      <c r="D10" s="1"/>
      <c r="F10" t="str">
        <f>IFERROR(IF(VLOOKUP(Tabela_Dimensionamento[Tipo],Tabela2[],2,FALSE)=0,"",VLOOKUP(Tabela_Dimensionamento[Tipo],Tabela2[],2,FALSE)),"")</f>
        <v/>
      </c>
      <c r="G10" t="str">
        <f>IFERROR(IF(VLOOKUP(Tabela_Dimensionamento[Tipo],Tabela2[],3,FALSE)="","",VLOOKUP(Tabela_Dimensionamento[Tipo],Tabela2[],3,FALSE)),"")</f>
        <v/>
      </c>
      <c r="H10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0" s="1"/>
      <c r="J10" s="45" t="str">
        <f>IFERROR(IF(VLOOKUP(Tabela_Dimensionamento[Tipo],Tabela2[],4,FALSE)=0,"",VLOOKUP(Tabela_Dimensionamento[Tipo],Tabela2[],4,FALSE)),"")</f>
        <v/>
      </c>
      <c r="K10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0" s="45" t="str">
        <f>IFERROR(IF(VLOOKUP(Tabela_Dimensionamento[Tipo],Tabela2[],6,FALSE)=0,"",VLOOKUP(Tabela_Dimensionamento[Tipo],Tabela2[],6,FALSE)),"")</f>
        <v/>
      </c>
      <c r="M10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0" s="43"/>
      <c r="O10" s="44" t="str">
        <f>IF(Tabela_Dimensionamento[Área (m²)]="","",IF(Tabela_Dimensionamento[Área (m²)]&lt;=6,100,100+60*ROUNDDOWN((Tabela_Dimensionamento[Área (m²)]-6)/4,0)))</f>
        <v/>
      </c>
      <c r="P10" s="43"/>
    </row>
    <row r="11" spans="2:16" x14ac:dyDescent="0.25">
      <c r="C11" s="1"/>
      <c r="D11" s="1"/>
      <c r="E11" s="2"/>
      <c r="F11" t="str">
        <f>IFERROR(IF(VLOOKUP(Tabela_Dimensionamento[Tipo],Tabela2[],2,FALSE)=0,"",VLOOKUP(Tabela_Dimensionamento[Tipo],Tabela2[],2,FALSE)),"")</f>
        <v/>
      </c>
      <c r="G11" t="str">
        <f>IFERROR(IF(VLOOKUP(Tabela_Dimensionamento[Tipo],Tabela2[],3,FALSE)="","",VLOOKUP(Tabela_Dimensionamento[Tipo],Tabela2[],3,FALSE)),"")</f>
        <v/>
      </c>
      <c r="H11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1" s="1"/>
      <c r="J11" s="45" t="str">
        <f>IFERROR(IF(VLOOKUP(Tabela_Dimensionamento[Tipo],Tabela2[],4,FALSE)=0,"",VLOOKUP(Tabela_Dimensionamento[Tipo],Tabela2[],4,FALSE)),"")</f>
        <v/>
      </c>
      <c r="K11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1" s="45" t="str">
        <f>IFERROR(IF(VLOOKUP(Tabela_Dimensionamento[Tipo],Tabela2[],6,FALSE)=0,"",VLOOKUP(Tabela_Dimensionamento[Tipo],Tabela2[],6,FALSE)),"")</f>
        <v/>
      </c>
      <c r="M11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1" s="43"/>
      <c r="O11" s="44" t="str">
        <f>IF(Tabela_Dimensionamento[Área (m²)]="","",IF(Tabela_Dimensionamento[Área (m²)]&lt;=6,100,100+60*ROUNDDOWN((Tabela_Dimensionamento[Área (m²)]-6)/4,0)))</f>
        <v/>
      </c>
      <c r="P11" s="43"/>
    </row>
    <row r="12" spans="2:16" x14ac:dyDescent="0.25">
      <c r="C12" s="1"/>
      <c r="D12" s="1"/>
      <c r="F12" t="str">
        <f>IFERROR(IF(VLOOKUP(Tabela_Dimensionamento[Tipo],Tabela2[],2,FALSE)=0,"",VLOOKUP(Tabela_Dimensionamento[Tipo],Tabela2[],2,FALSE)),"")</f>
        <v/>
      </c>
      <c r="G12" t="str">
        <f>IFERROR(IF(VLOOKUP(Tabela_Dimensionamento[Tipo],Tabela2[],3,FALSE)="","",VLOOKUP(Tabela_Dimensionamento[Tipo],Tabela2[],3,FALSE)),"")</f>
        <v/>
      </c>
      <c r="H12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2" s="1"/>
      <c r="J12" s="45" t="str">
        <f>IFERROR(IF(VLOOKUP(Tabela_Dimensionamento[Tipo],Tabela2[],4,FALSE)=0,"",VLOOKUP(Tabela_Dimensionamento[Tipo],Tabela2[],4,FALSE)),"")</f>
        <v/>
      </c>
      <c r="K12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2" s="45" t="str">
        <f>IFERROR(IF(VLOOKUP(Tabela_Dimensionamento[Tipo],Tabela2[],6,FALSE)=0,"",VLOOKUP(Tabela_Dimensionamento[Tipo],Tabela2[],6,FALSE)),"")</f>
        <v/>
      </c>
      <c r="M12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2" s="43"/>
      <c r="O12" s="44" t="str">
        <f>IF(Tabela_Dimensionamento[Área (m²)]="","",IF(Tabela_Dimensionamento[Área (m²)]&lt;=6,100,100+60*ROUNDDOWN((Tabela_Dimensionamento[Área (m²)]-6)/4,0)))</f>
        <v/>
      </c>
      <c r="P12" s="43"/>
    </row>
    <row r="13" spans="2:16" x14ac:dyDescent="0.25">
      <c r="C13" s="1"/>
      <c r="D13" s="1"/>
      <c r="F13" t="str">
        <f>IFERROR(IF(VLOOKUP(Tabela_Dimensionamento[Tipo],Tabela2[],2,FALSE)=0,"",VLOOKUP(Tabela_Dimensionamento[Tipo],Tabela2[],2,FALSE)),"")</f>
        <v/>
      </c>
      <c r="G13" t="str">
        <f>IFERROR(IF(VLOOKUP(Tabela_Dimensionamento[Tipo],Tabela2[],3,FALSE)="","",VLOOKUP(Tabela_Dimensionamento[Tipo],Tabela2[],3,FALSE)),"")</f>
        <v/>
      </c>
      <c r="H13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3" s="1"/>
      <c r="J13" s="45" t="str">
        <f>IFERROR(IF(VLOOKUP(Tabela_Dimensionamento[Tipo],Tabela2[],4,FALSE)=0,"",VLOOKUP(Tabela_Dimensionamento[Tipo],Tabela2[],4,FALSE)),"")</f>
        <v/>
      </c>
      <c r="K13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3" s="45" t="str">
        <f>IFERROR(IF(VLOOKUP(Tabela_Dimensionamento[Tipo],Tabela2[],6,FALSE)=0,"",VLOOKUP(Tabela_Dimensionamento[Tipo],Tabela2[],6,FALSE)),"")</f>
        <v/>
      </c>
      <c r="M13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3" s="43"/>
      <c r="O13" s="44" t="str">
        <f>IF(Tabela_Dimensionamento[Área (m²)]="","",IF(Tabela_Dimensionamento[Área (m²)]&lt;=6,100,100+60*ROUNDDOWN((Tabela_Dimensionamento[Área (m²)]-6)/4,0)))</f>
        <v/>
      </c>
      <c r="P13" s="43"/>
    </row>
    <row r="14" spans="2:16" x14ac:dyDescent="0.25">
      <c r="C14" s="1"/>
      <c r="D14" s="1"/>
      <c r="F14" t="str">
        <f>IFERROR(IF(VLOOKUP(Tabela_Dimensionamento[Tipo],Tabela2[],2,FALSE)=0,"",VLOOKUP(Tabela_Dimensionamento[Tipo],Tabela2[],2,FALSE)),"")</f>
        <v/>
      </c>
      <c r="G14" t="str">
        <f>IFERROR(IF(VLOOKUP(Tabela_Dimensionamento[Tipo],Tabela2[],3,FALSE)="","",VLOOKUP(Tabela_Dimensionamento[Tipo],Tabela2[],3,FALSE)),"")</f>
        <v/>
      </c>
      <c r="H14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4" s="1"/>
      <c r="J14" s="45" t="str">
        <f>IFERROR(IF(VLOOKUP(Tabela_Dimensionamento[Tipo],Tabela2[],4,FALSE)=0,"",VLOOKUP(Tabela_Dimensionamento[Tipo],Tabela2[],4,FALSE)),"")</f>
        <v/>
      </c>
      <c r="K14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4" s="45" t="str">
        <f>IFERROR(IF(VLOOKUP(Tabela_Dimensionamento[Tipo],Tabela2[],6,FALSE)=0,"",VLOOKUP(Tabela_Dimensionamento[Tipo],Tabela2[],6,FALSE)),"")</f>
        <v/>
      </c>
      <c r="M14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4" s="43"/>
      <c r="O14" s="44" t="str">
        <f>IF(Tabela_Dimensionamento[Área (m²)]="","",IF(Tabela_Dimensionamento[Área (m²)]&lt;=6,100,100+60*ROUNDDOWN((Tabela_Dimensionamento[Área (m²)]-6)/4,0)))</f>
        <v/>
      </c>
      <c r="P14" s="43"/>
    </row>
    <row r="15" spans="2:16" x14ac:dyDescent="0.25">
      <c r="C15" s="1"/>
      <c r="D15" s="1"/>
      <c r="F15" t="str">
        <f>IFERROR(IF(VLOOKUP(Tabela_Dimensionamento[Tipo],Tabela2[],2,FALSE)=0,"",VLOOKUP(Tabela_Dimensionamento[Tipo],Tabela2[],2,FALSE)),"")</f>
        <v/>
      </c>
      <c r="G15" t="str">
        <f>IFERROR(IF(VLOOKUP(Tabela_Dimensionamento[Tipo],Tabela2[],3,FALSE)="","",VLOOKUP(Tabela_Dimensionamento[Tipo],Tabela2[],3,FALSE)),"")</f>
        <v/>
      </c>
      <c r="H15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5" s="1"/>
      <c r="J15" s="45" t="str">
        <f>IFERROR(IF(VLOOKUP(Tabela_Dimensionamento[Tipo],Tabela2[],4,FALSE)=0,"",VLOOKUP(Tabela_Dimensionamento[Tipo],Tabela2[],4,FALSE)),"")</f>
        <v/>
      </c>
      <c r="K15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5" s="45" t="str">
        <f>IFERROR(IF(VLOOKUP(Tabela_Dimensionamento[Tipo],Tabela2[],6,FALSE)=0,"",VLOOKUP(Tabela_Dimensionamento[Tipo],Tabela2[],6,FALSE)),"")</f>
        <v/>
      </c>
      <c r="M15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5" s="43"/>
      <c r="O15" s="44" t="str">
        <f>IF(Tabela_Dimensionamento[Área (m²)]="","",IF(Tabela_Dimensionamento[Área (m²)]&lt;=6,100,100+60*ROUNDDOWN((Tabela_Dimensionamento[Área (m²)]-6)/4,0)))</f>
        <v/>
      </c>
      <c r="P15" s="43"/>
    </row>
    <row r="16" spans="2:16" x14ac:dyDescent="0.25">
      <c r="C16" s="1"/>
      <c r="D16" s="1"/>
      <c r="F16" t="str">
        <f>IFERROR(IF(VLOOKUP(Tabela_Dimensionamento[Tipo],Tabela2[],2,FALSE)=0,"",VLOOKUP(Tabela_Dimensionamento[Tipo],Tabela2[],2,FALSE)),"")</f>
        <v/>
      </c>
      <c r="G16" t="str">
        <f>IFERROR(IF(VLOOKUP(Tabela_Dimensionamento[Tipo],Tabela2[],3,FALSE)="","",VLOOKUP(Tabela_Dimensionamento[Tipo],Tabela2[],3,FALSE)),"")</f>
        <v/>
      </c>
      <c r="H16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6" s="1"/>
      <c r="J16" s="45" t="str">
        <f>IFERROR(IF(VLOOKUP(Tabela_Dimensionamento[Tipo],Tabela2[],4,FALSE)=0,"",VLOOKUP(Tabela_Dimensionamento[Tipo],Tabela2[],4,FALSE)),"")</f>
        <v/>
      </c>
      <c r="K16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6" s="45" t="str">
        <f>IFERROR(IF(VLOOKUP(Tabela_Dimensionamento[Tipo],Tabela2[],6,FALSE)=0,"",VLOOKUP(Tabela_Dimensionamento[Tipo],Tabela2[],6,FALSE)),"")</f>
        <v/>
      </c>
      <c r="M16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6" s="43"/>
      <c r="O16" s="44" t="str">
        <f>IF(Tabela_Dimensionamento[Área (m²)]="","",IF(Tabela_Dimensionamento[Área (m²)]&lt;=6,100,100+60*ROUNDDOWN((Tabela_Dimensionamento[Área (m²)]-6)/4,0)))</f>
        <v/>
      </c>
      <c r="P16" s="43"/>
    </row>
    <row r="17" spans="3:16" x14ac:dyDescent="0.25">
      <c r="C17" s="1"/>
      <c r="D17" s="1"/>
      <c r="F17" t="str">
        <f>IFERROR(IF(VLOOKUP(Tabela_Dimensionamento[Tipo],Tabela2[],2,FALSE)=0,"",VLOOKUP(Tabela_Dimensionamento[Tipo],Tabela2[],2,FALSE)),"")</f>
        <v/>
      </c>
      <c r="G17" t="str">
        <f>IFERROR(IF(VLOOKUP(Tabela_Dimensionamento[Tipo],Tabela2[],3,FALSE)="","",VLOOKUP(Tabela_Dimensionamento[Tipo],Tabela2[],3,FALSE)),"")</f>
        <v/>
      </c>
      <c r="H17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7" s="1"/>
      <c r="J17" s="45" t="str">
        <f>IFERROR(IF(VLOOKUP(Tabela_Dimensionamento[Tipo],Tabela2[],4,FALSE)=0,"",VLOOKUP(Tabela_Dimensionamento[Tipo],Tabela2[],4,FALSE)),"")</f>
        <v/>
      </c>
      <c r="K17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7" s="45" t="str">
        <f>IFERROR(IF(VLOOKUP(Tabela_Dimensionamento[Tipo],Tabela2[],6,FALSE)=0,"",VLOOKUP(Tabela_Dimensionamento[Tipo],Tabela2[],6,FALSE)),"")</f>
        <v/>
      </c>
      <c r="M17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7" s="43"/>
      <c r="O17" s="44" t="str">
        <f>IF(Tabela_Dimensionamento[Área (m²)]="","",IF(Tabela_Dimensionamento[Área (m²)]&lt;=6,100,100+60*ROUNDDOWN((Tabela_Dimensionamento[Área (m²)]-6)/4,0)))</f>
        <v/>
      </c>
      <c r="P17" s="43"/>
    </row>
    <row r="18" spans="3:16" x14ac:dyDescent="0.25">
      <c r="C18" s="1"/>
      <c r="D18" s="1"/>
      <c r="F18" t="str">
        <f>IFERROR(IF(VLOOKUP(Tabela_Dimensionamento[Tipo],Tabela2[],2,FALSE)=0,"",VLOOKUP(Tabela_Dimensionamento[Tipo],Tabela2[],2,FALSE)),"")</f>
        <v/>
      </c>
      <c r="G18" t="str">
        <f>IFERROR(IF(VLOOKUP(Tabela_Dimensionamento[Tipo],Tabela2[],3,FALSE)="","",VLOOKUP(Tabela_Dimensionamento[Tipo],Tabela2[],3,FALSE)),"")</f>
        <v/>
      </c>
      <c r="H18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8" s="1"/>
      <c r="J18" s="45" t="str">
        <f>IFERROR(IF(VLOOKUP(Tabela_Dimensionamento[Tipo],Tabela2[],4,FALSE)=0,"",VLOOKUP(Tabela_Dimensionamento[Tipo],Tabela2[],4,FALSE)),"")</f>
        <v/>
      </c>
      <c r="K18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8" s="45" t="str">
        <f>IFERROR(IF(VLOOKUP(Tabela_Dimensionamento[Tipo],Tabela2[],6,FALSE)=0,"",VLOOKUP(Tabela_Dimensionamento[Tipo],Tabela2[],6,FALSE)),"")</f>
        <v/>
      </c>
      <c r="M18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8" s="43"/>
      <c r="O18" s="44" t="str">
        <f>IF(Tabela_Dimensionamento[Área (m²)]="","",IF(Tabela_Dimensionamento[Área (m²)]&lt;=6,100,100+60*ROUNDDOWN((Tabela_Dimensionamento[Área (m²)]-6)/4,0)))</f>
        <v/>
      </c>
      <c r="P18" s="43"/>
    </row>
    <row r="19" spans="3:16" x14ac:dyDescent="0.25">
      <c r="C19" s="1"/>
      <c r="D19" s="1"/>
      <c r="F19" t="str">
        <f>IFERROR(IF(VLOOKUP(Tabela_Dimensionamento[Tipo],Tabela2[],2,FALSE)=0,"",VLOOKUP(Tabela_Dimensionamento[Tipo],Tabela2[],2,FALSE)),"")</f>
        <v/>
      </c>
      <c r="G19" t="str">
        <f>IFERROR(IF(VLOOKUP(Tabela_Dimensionamento[Tipo],Tabela2[],3,FALSE)="","",VLOOKUP(Tabela_Dimensionamento[Tipo],Tabela2[],3,FALSE)),"")</f>
        <v/>
      </c>
      <c r="H19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19" s="1"/>
      <c r="J19" s="45" t="str">
        <f>IFERROR(IF(VLOOKUP(Tabela_Dimensionamento[Tipo],Tabela2[],4,FALSE)=0,"",VLOOKUP(Tabela_Dimensionamento[Tipo],Tabela2[],4,FALSE)),"")</f>
        <v/>
      </c>
      <c r="K19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19" s="45" t="str">
        <f>IFERROR(IF(VLOOKUP(Tabela_Dimensionamento[Tipo],Tabela2[],6,FALSE)=0,"",VLOOKUP(Tabela_Dimensionamento[Tipo],Tabela2[],6,FALSE)),"")</f>
        <v/>
      </c>
      <c r="M19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19" s="43"/>
      <c r="O19" s="44" t="str">
        <f>IF(Tabela_Dimensionamento[Área (m²)]="","",IF(Tabela_Dimensionamento[Área (m²)]&lt;=6,100,100+60*ROUNDDOWN((Tabela_Dimensionamento[Área (m²)]-6)/4,0)))</f>
        <v/>
      </c>
      <c r="P19" s="43"/>
    </row>
    <row r="20" spans="3:16" x14ac:dyDescent="0.25">
      <c r="C20" s="1"/>
      <c r="D20" s="1"/>
      <c r="F20" t="str">
        <f>IFERROR(IF(VLOOKUP(Tabela_Dimensionamento[Tipo],Tabela2[],2,FALSE)=0,"",VLOOKUP(Tabela_Dimensionamento[Tipo],Tabela2[],2,FALSE)),"")</f>
        <v/>
      </c>
      <c r="G20" t="str">
        <f>IFERROR(IF(VLOOKUP(Tabela_Dimensionamento[Tipo],Tabela2[],3,FALSE)="","",VLOOKUP(Tabela_Dimensionamento[Tipo],Tabela2[],3,FALSE)),"")</f>
        <v/>
      </c>
      <c r="H20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20" s="1"/>
      <c r="J20" s="45" t="str">
        <f>IFERROR(IF(VLOOKUP(Tabela_Dimensionamento[Tipo],Tabela2[],4,FALSE)=0,"",VLOOKUP(Tabela_Dimensionamento[Tipo],Tabela2[],4,FALSE)),"")</f>
        <v/>
      </c>
      <c r="K20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20" s="45" t="str">
        <f>IFERROR(IF(VLOOKUP(Tabela_Dimensionamento[Tipo],Tabela2[],6,FALSE)=0,"",VLOOKUP(Tabela_Dimensionamento[Tipo],Tabela2[],6,FALSE)),"")</f>
        <v/>
      </c>
      <c r="M20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20" s="43"/>
      <c r="O20" s="44" t="str">
        <f>IF(Tabela_Dimensionamento[Área (m²)]="","",IF(Tabela_Dimensionamento[Área (m²)]&lt;=6,100,100+60*ROUNDDOWN((Tabela_Dimensionamento[Área (m²)]-6)/4,0)))</f>
        <v/>
      </c>
      <c r="P20" s="43"/>
    </row>
    <row r="21" spans="3:16" x14ac:dyDescent="0.25">
      <c r="C21" s="1"/>
      <c r="D21" s="1"/>
      <c r="F21" t="str">
        <f>IFERROR(IF(VLOOKUP(Tabela_Dimensionamento[Tipo],Tabela2[],2,FALSE)=0,"",VLOOKUP(Tabela_Dimensionamento[Tipo],Tabela2[],2,FALSE)),"")</f>
        <v/>
      </c>
      <c r="G21" t="str">
        <f>IFERROR(IF(VLOOKUP(Tabela_Dimensionamento[Tipo],Tabela2[],3,FALSE)="","",VLOOKUP(Tabela_Dimensionamento[Tipo],Tabela2[],3,FALSE)),"")</f>
        <v/>
      </c>
      <c r="H21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21" s="1"/>
      <c r="J21" s="45" t="str">
        <f>IFERROR(IF(VLOOKUP(Tabela_Dimensionamento[Tipo],Tabela2[],4,FALSE)=0,"",VLOOKUP(Tabela_Dimensionamento[Tipo],Tabela2[],4,FALSE)),"")</f>
        <v/>
      </c>
      <c r="K21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21" s="45" t="str">
        <f>IFERROR(IF(VLOOKUP(Tabela_Dimensionamento[Tipo],Tabela2[],6,FALSE)=0,"",VLOOKUP(Tabela_Dimensionamento[Tipo],Tabela2[],6,FALSE)),"")</f>
        <v/>
      </c>
      <c r="M21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21" s="43"/>
      <c r="O21" s="44" t="str">
        <f>IF(Tabela_Dimensionamento[Área (m²)]="","",IF(Tabela_Dimensionamento[Área (m²)]&lt;=6,100,100+60*ROUNDDOWN((Tabela_Dimensionamento[Área (m²)]-6)/4,0)))</f>
        <v/>
      </c>
      <c r="P21" s="43"/>
    </row>
    <row r="22" spans="3:16" x14ac:dyDescent="0.25">
      <c r="C22" s="1"/>
      <c r="D22" s="1"/>
      <c r="F22" t="str">
        <f>IFERROR(IF(VLOOKUP(Tabela_Dimensionamento[Tipo],Tabela2[],2,FALSE)=0,"",VLOOKUP(Tabela_Dimensionamento[Tipo],Tabela2[],2,FALSE)),"")</f>
        <v/>
      </c>
      <c r="G22" t="str">
        <f>IFERROR(IF(VLOOKUP(Tabela_Dimensionamento[Tipo],Tabela2[],3,FALSE)="","",VLOOKUP(Tabela_Dimensionamento[Tipo],Tabela2[],3,FALSE)),"")</f>
        <v/>
      </c>
      <c r="H22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22" s="1"/>
      <c r="J22" s="45" t="str">
        <f>IFERROR(IF(VLOOKUP(Tabela_Dimensionamento[Tipo],Tabela2[],4,FALSE)=0,"",VLOOKUP(Tabela_Dimensionamento[Tipo],Tabela2[],4,FALSE)),"")</f>
        <v/>
      </c>
      <c r="K22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22" s="45" t="str">
        <f>IFERROR(IF(VLOOKUP(Tabela_Dimensionamento[Tipo],Tabela2[],6,FALSE)=0,"",VLOOKUP(Tabela_Dimensionamento[Tipo],Tabela2[],6,FALSE)),"")</f>
        <v/>
      </c>
      <c r="M22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22" s="43"/>
      <c r="O22" s="44" t="str">
        <f>IF(Tabela_Dimensionamento[Área (m²)]="","",IF(Tabela_Dimensionamento[Área (m²)]&lt;=6,100,100+60*ROUNDDOWN((Tabela_Dimensionamento[Área (m²)]-6)/4,0)))</f>
        <v/>
      </c>
      <c r="P22" s="43"/>
    </row>
    <row r="23" spans="3:16" x14ac:dyDescent="0.25">
      <c r="C23" s="1"/>
      <c r="D23" s="1"/>
      <c r="F23" t="str">
        <f>IFERROR(IF(VLOOKUP(Tabela_Dimensionamento[Tipo],Tabela2[],2,FALSE)=0,"",VLOOKUP(Tabela_Dimensionamento[Tipo],Tabela2[],2,FALSE)),"")</f>
        <v/>
      </c>
      <c r="G23" t="str">
        <f>IFERROR(IF(VLOOKUP(Tabela_Dimensionamento[Tipo],Tabela2[],3,FALSE)="","",VLOOKUP(Tabela_Dimensionamento[Tipo],Tabela2[],3,FALSE)),"")</f>
        <v/>
      </c>
      <c r="H23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23" s="1"/>
      <c r="J23" s="45" t="str">
        <f>IFERROR(IF(VLOOKUP(Tabela_Dimensionamento[Tipo],Tabela2[],4,FALSE)=0,"",VLOOKUP(Tabela_Dimensionamento[Tipo],Tabela2[],4,FALSE)),"")</f>
        <v/>
      </c>
      <c r="K23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23" s="45" t="str">
        <f>IFERROR(IF(VLOOKUP(Tabela_Dimensionamento[Tipo],Tabela2[],6,FALSE)=0,"",VLOOKUP(Tabela_Dimensionamento[Tipo],Tabela2[],6,FALSE)),"")</f>
        <v/>
      </c>
      <c r="M23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23" s="43"/>
      <c r="O23" s="44" t="str">
        <f>IF(Tabela_Dimensionamento[Área (m²)]="","",IF(Tabela_Dimensionamento[Área (m²)]&lt;=6,100,100+60*ROUNDDOWN((Tabela_Dimensionamento[Área (m²)]-6)/4,0)))</f>
        <v/>
      </c>
      <c r="P23" s="43"/>
    </row>
    <row r="24" spans="3:16" x14ac:dyDescent="0.25">
      <c r="C24" s="1"/>
      <c r="D24" s="1"/>
      <c r="F24" t="str">
        <f>IFERROR(IF(VLOOKUP(Tabela_Dimensionamento[Tipo],Tabela2[],2,FALSE)=0,"",VLOOKUP(Tabela_Dimensionamento[Tipo],Tabela2[],2,FALSE)),"")</f>
        <v/>
      </c>
      <c r="G24" t="str">
        <f>IFERROR(IF(VLOOKUP(Tabela_Dimensionamento[Tipo],Tabela2[],3,FALSE)="","",VLOOKUP(Tabela_Dimensionamento[Tipo],Tabela2[],3,FALSE)),"")</f>
        <v/>
      </c>
      <c r="H24" s="44" t="str">
        <f>IF(OR(Tabela_Dimensionamento[Perímetro (m)]="",Tabela_Dimensionamento[Tipo]=""),"",ROUNDUP(IF(Tabela_Dimensionamento[[#This Row],[Div + fração]]="",Tabela_Dimensionamento[[#This Row],[Qtd (min)]],Tabela_Dimensionamento[Perímetro (m)]/Tabela_Dimensionamento[[#This Row],[Div + fração]]),0))</f>
        <v/>
      </c>
      <c r="I24" s="1"/>
      <c r="J24" s="45" t="str">
        <f>IFERROR(IF(VLOOKUP(Tabela_Dimensionamento[Tipo],Tabela2[],4,FALSE)=0,"",VLOOKUP(Tabela_Dimensionamento[Tipo],Tabela2[],4,FALSE)),"")</f>
        <v/>
      </c>
      <c r="K24" s="46">
        <f>IF(AND(Tabela_Dimensionamento[[#This Row],[Obs. (600VA)]]=Sistema!$G$4,Tabela_Dimensionamento[[#This Row],[Qtd. Adotada]]&gt;6),2,IFERROR(IF(VLOOKUP(Tabela_Dimensionamento[Tipo],Tabela2[],5,FALSE)=0,"",VLOOKUP(Tabela_Dimensionamento[Tipo],Tabela2[],5,FALSE)),))</f>
        <v>0</v>
      </c>
      <c r="L24" s="45" t="str">
        <f>IFERROR(IF(VLOOKUP(Tabela_Dimensionamento[Tipo],Tabela2[],6,FALSE)=0,"",VLOOKUP(Tabela_Dimensionamento[Tipo],Tabela2[],6,FALSE)),"")</f>
        <v/>
      </c>
      <c r="M24" s="46">
        <f>IF(Tabela_Dimensionamento[[#This Row],[Pts. de 600 VA]]&lt;&gt;"", Tabela_Dimensionamento[[#This Row],[Pts. de 600 VA]]*600+(Tabela_Dimensionamento[[#This Row],[Qtd. Adotada]]-Tabela_Dimensionamento[[#This Row],[Pts. de 600 VA]])*100, Tabela_Dimensionamento[[#This Row],[Qtd. Adotada]]*100)</f>
        <v>0</v>
      </c>
      <c r="N24" s="43"/>
      <c r="O24" s="44" t="str">
        <f>IF(Tabela_Dimensionamento[Área (m²)]="","",IF(Tabela_Dimensionamento[Área (m²)]&lt;=6,100,100+60*ROUNDDOWN((Tabela_Dimensionamento[Área (m²)]-6)/4,0)))</f>
        <v/>
      </c>
      <c r="P24" s="43"/>
    </row>
  </sheetData>
  <mergeCells count="3">
    <mergeCell ref="H2:L2"/>
    <mergeCell ref="B2:E2"/>
    <mergeCell ref="O2:P2"/>
  </mergeCell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Aplique um tipo pré-definido." xr:uid="{D4C28FEC-2648-49E8-B7F1-F34595A4DA49}">
          <x14:formula1>
            <xm:f>Sistema!$B$3:$B$11</xm:f>
          </x14:formula1>
          <xm:sqref>E4:E24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042F-BC0F-4956-82CB-735FE8FE143E}">
  <sheetPr codeName="Planilha2"/>
  <dimension ref="A2:P17"/>
  <sheetViews>
    <sheetView topLeftCell="B1" workbookViewId="0">
      <selection activeCell="G18" sqref="G18"/>
    </sheetView>
  </sheetViews>
  <sheetFormatPr defaultRowHeight="15" x14ac:dyDescent="0.25"/>
  <cols>
    <col min="1" max="1" width="13.140625" hidden="1" customWidth="1"/>
    <col min="2" max="2" width="9.140625" customWidth="1"/>
    <col min="3" max="3" width="20.7109375" customWidth="1"/>
    <col min="4" max="4" width="16.42578125" bestFit="1" customWidth="1"/>
    <col min="5" max="5" width="14.28515625" bestFit="1" customWidth="1"/>
    <col min="6" max="7" width="15.5703125" bestFit="1" customWidth="1"/>
    <col min="8" max="8" width="15.7109375" bestFit="1" customWidth="1"/>
    <col min="11" max="11" width="14.28515625" bestFit="1" customWidth="1"/>
    <col min="12" max="12" width="15.28515625" customWidth="1"/>
    <col min="13" max="13" width="7" customWidth="1"/>
    <col min="15" max="15" width="14.28515625" bestFit="1" customWidth="1"/>
    <col min="16" max="16" width="15.5703125" bestFit="1" customWidth="1"/>
  </cols>
  <sheetData>
    <row r="2" spans="2:16" x14ac:dyDescent="0.25">
      <c r="B2" s="71" t="s">
        <v>39</v>
      </c>
      <c r="C2" s="71"/>
      <c r="D2" s="71"/>
      <c r="E2" s="71"/>
      <c r="F2" s="71"/>
      <c r="G2" s="71"/>
      <c r="H2" s="71"/>
      <c r="J2" s="71" t="s">
        <v>22</v>
      </c>
      <c r="K2" s="71"/>
      <c r="L2" s="71"/>
      <c r="N2" s="71" t="s">
        <v>25</v>
      </c>
      <c r="O2" s="71"/>
      <c r="P2" s="71"/>
    </row>
    <row r="3" spans="2:16" x14ac:dyDescent="0.25">
      <c r="B3" t="s">
        <v>16</v>
      </c>
      <c r="C3" t="s">
        <v>38</v>
      </c>
      <c r="D3" t="s">
        <v>40</v>
      </c>
      <c r="E3" t="s">
        <v>68</v>
      </c>
      <c r="F3" t="s">
        <v>37</v>
      </c>
      <c r="G3" t="s">
        <v>133</v>
      </c>
      <c r="H3" t="s">
        <v>36</v>
      </c>
      <c r="J3" t="s">
        <v>16</v>
      </c>
      <c r="K3" t="s">
        <v>43</v>
      </c>
      <c r="L3" t="s">
        <v>68</v>
      </c>
      <c r="N3" t="s">
        <v>16</v>
      </c>
      <c r="O3" t="s">
        <v>43</v>
      </c>
      <c r="P3" t="s">
        <v>68</v>
      </c>
    </row>
    <row r="4" spans="2:16" x14ac:dyDescent="0.25">
      <c r="B4">
        <v>1</v>
      </c>
      <c r="C4" t="s">
        <v>93</v>
      </c>
      <c r="D4" t="s">
        <v>91</v>
      </c>
      <c r="E4">
        <v>2000</v>
      </c>
      <c r="F4">
        <v>0.92</v>
      </c>
      <c r="G4" s="47">
        <f>Tabela_Ckt_TUE[[#This Row],[Potência (VA)]]/$D$17</f>
        <v>9.8814229249011856</v>
      </c>
      <c r="H4" s="47">
        <f>Tabela_Ckt_TUE[[#This Row],[Potência (W)]]/Tabela_Ckt_TUE[[#This Row],[FP]]</f>
        <v>2173.913043478261</v>
      </c>
      <c r="J4" s="45">
        <f>Sistema!B18</f>
        <v>3</v>
      </c>
      <c r="K4" s="47">
        <f>Tabela_Ckt_TUG[Potência (W)]/$D$17</f>
        <v>8.1818181818181817</v>
      </c>
      <c r="L4" s="45">
        <f>Sistema!C18</f>
        <v>1800</v>
      </c>
      <c r="N4" s="45">
        <f>Sistema!F18</f>
        <v>5</v>
      </c>
      <c r="O4" s="47">
        <f>Tabela_Ckt_Ilu.[Potência (W)]/$D$17</f>
        <v>1.2727272727272727</v>
      </c>
      <c r="P4" s="45">
        <f>Sistema!G18</f>
        <v>280</v>
      </c>
    </row>
    <row r="5" spans="2:16" x14ac:dyDescent="0.25">
      <c r="B5">
        <v>2</v>
      </c>
      <c r="C5" t="s">
        <v>94</v>
      </c>
      <c r="D5" t="s">
        <v>92</v>
      </c>
      <c r="E5">
        <v>3000</v>
      </c>
      <c r="F5">
        <v>0.8</v>
      </c>
      <c r="G5" s="47">
        <f>Tabela_Ckt_TUE[[#This Row],[Potência (VA)]]/$D$17</f>
        <v>17.045454545454547</v>
      </c>
      <c r="H5" s="47">
        <f>Tabela_Ckt_TUE[[#This Row],[Potência (W)]]/Tabela_Ckt_TUE[[#This Row],[FP]]</f>
        <v>3750</v>
      </c>
      <c r="J5" s="45">
        <f>Sistema!B19</f>
        <v>4</v>
      </c>
      <c r="K5" s="47">
        <f>Tabela_Ckt_TUG[Potência (W)]/$D$17</f>
        <v>4.5454545454545459</v>
      </c>
      <c r="L5" s="45">
        <f>Sistema!C19</f>
        <v>1000</v>
      </c>
      <c r="N5" s="45">
        <f>Sistema!F19</f>
        <v>6</v>
      </c>
      <c r="O5" s="47">
        <f>Tabela_Ckt_Ilu.[Potência (W)]/$D$17</f>
        <v>1.7272727272727273</v>
      </c>
      <c r="P5" s="45">
        <f>Sistema!G19</f>
        <v>380</v>
      </c>
    </row>
    <row r="6" spans="2:16" x14ac:dyDescent="0.25">
      <c r="F6">
        <v>1</v>
      </c>
      <c r="G6" s="47">
        <f>Tabela_Ckt_TUE[[#This Row],[Potência (VA)]]/$D$17</f>
        <v>0</v>
      </c>
      <c r="H6" s="47">
        <f>Tabela_Ckt_TUE[[#This Row],[Potência (W)]]/Tabela_Ckt_TUE[[#This Row],[FP]]</f>
        <v>0</v>
      </c>
      <c r="J6" s="45" t="str">
        <f>Sistema!B20</f>
        <v>(vazio)</v>
      </c>
      <c r="K6" s="47">
        <f>Tabela_Ckt_TUG[Potência (W)]/$D$17</f>
        <v>0</v>
      </c>
      <c r="L6" s="45">
        <f>Sistema!C20</f>
        <v>0</v>
      </c>
      <c r="N6" s="45" t="str">
        <f>Sistema!F20</f>
        <v>(vazio)</v>
      </c>
      <c r="O6" s="47">
        <f>Tabela_Ckt_Ilu.[Potência (W)]/$D$17</f>
        <v>0</v>
      </c>
      <c r="P6" s="45">
        <f>Sistema!G20</f>
        <v>0</v>
      </c>
    </row>
    <row r="7" spans="2:16" x14ac:dyDescent="0.25">
      <c r="F7">
        <v>1</v>
      </c>
      <c r="G7" s="47">
        <f>Tabela_Ckt_TUE[[#This Row],[Potência (VA)]]/$D$17</f>
        <v>0</v>
      </c>
      <c r="H7" s="47">
        <f>Tabela_Ckt_TUE[[#This Row],[Potência (W)]]/Tabela_Ckt_TUE[[#This Row],[FP]]</f>
        <v>0</v>
      </c>
      <c r="J7" s="45">
        <f>Sistema!B21</f>
        <v>0</v>
      </c>
      <c r="K7" s="47">
        <f>Tabela_Ckt_TUG[Potência (W)]/$D$17</f>
        <v>0</v>
      </c>
      <c r="L7" s="45">
        <f>Sistema!C21</f>
        <v>0</v>
      </c>
      <c r="N7" s="45">
        <f>Sistema!F21</f>
        <v>0</v>
      </c>
      <c r="O7" s="47">
        <f>Tabela_Ckt_Ilu.[Potência (W)]/$D$17</f>
        <v>0</v>
      </c>
      <c r="P7" s="45">
        <f>Sistema!G21</f>
        <v>0</v>
      </c>
    </row>
    <row r="8" spans="2:16" x14ac:dyDescent="0.25">
      <c r="F8">
        <v>1</v>
      </c>
      <c r="G8" s="47">
        <f>Tabela_Ckt_TUE[[#This Row],[Potência (VA)]]/$D$17</f>
        <v>0</v>
      </c>
      <c r="H8" s="47">
        <f>Tabela_Ckt_TUE[[#This Row],[Potência (W)]]/Tabela_Ckt_TUE[[#This Row],[FP]]</f>
        <v>0</v>
      </c>
      <c r="J8" s="45">
        <f>Sistema!B22</f>
        <v>0</v>
      </c>
      <c r="K8" s="47">
        <f>Tabela_Ckt_TUG[Potência (W)]/$D$17</f>
        <v>0</v>
      </c>
      <c r="L8" s="45">
        <f>Sistema!C22</f>
        <v>0</v>
      </c>
      <c r="N8" s="45">
        <f>Sistema!F22</f>
        <v>0</v>
      </c>
      <c r="O8" s="47">
        <f>Tabela_Ckt_Ilu.[Potência (W)]/$D$17</f>
        <v>0</v>
      </c>
      <c r="P8" s="45">
        <f>Sistema!G22</f>
        <v>0</v>
      </c>
    </row>
    <row r="9" spans="2:16" x14ac:dyDescent="0.25">
      <c r="F9">
        <v>1</v>
      </c>
      <c r="G9" s="47">
        <f>Tabela_Ckt_TUE[[#This Row],[Potência (VA)]]/$D$17</f>
        <v>0</v>
      </c>
      <c r="H9" s="47">
        <f>Tabela_Ckt_TUE[[#This Row],[Potência (W)]]/Tabela_Ckt_TUE[[#This Row],[FP]]</f>
        <v>0</v>
      </c>
      <c r="J9" s="45">
        <f>Sistema!B23</f>
        <v>0</v>
      </c>
      <c r="K9" s="47">
        <f>Tabela_Ckt_TUG[Potência (W)]/$D$17</f>
        <v>0</v>
      </c>
      <c r="L9" s="45">
        <f>Sistema!C23</f>
        <v>0</v>
      </c>
      <c r="N9" s="45">
        <f>Sistema!F23</f>
        <v>0</v>
      </c>
      <c r="O9" s="47">
        <f>Tabela_Ckt_Ilu.[Potência (W)]/$D$17</f>
        <v>0</v>
      </c>
      <c r="P9" s="45">
        <f>Sistema!G23</f>
        <v>0</v>
      </c>
    </row>
    <row r="10" spans="2:16" x14ac:dyDescent="0.25">
      <c r="F10">
        <v>1</v>
      </c>
      <c r="G10" s="47">
        <f>Tabela_Ckt_TUE[[#This Row],[Potência (VA)]]/$D$17</f>
        <v>0</v>
      </c>
      <c r="H10" s="47">
        <f>Tabela_Ckt_TUE[[#This Row],[Potência (W)]]/Tabela_Ckt_TUE[[#This Row],[FP]]</f>
        <v>0</v>
      </c>
      <c r="J10" s="45">
        <f>Sistema!B24</f>
        <v>0</v>
      </c>
      <c r="K10" s="47">
        <f>Tabela_Ckt_TUG[Potência (W)]/$D$17</f>
        <v>0</v>
      </c>
      <c r="L10" s="45">
        <f>Sistema!C24</f>
        <v>0</v>
      </c>
      <c r="N10" s="45">
        <f>Sistema!F24</f>
        <v>0</v>
      </c>
      <c r="O10" s="47">
        <f>Tabela_Ckt_Ilu.[Potência (W)]/$D$17</f>
        <v>0</v>
      </c>
      <c r="P10" s="45">
        <f>Sistema!G24</f>
        <v>0</v>
      </c>
    </row>
    <row r="11" spans="2:16" x14ac:dyDescent="0.25">
      <c r="F11">
        <v>1</v>
      </c>
      <c r="G11" s="47">
        <f>Tabela_Ckt_TUE[[#This Row],[Potência (VA)]]/$D$17</f>
        <v>0</v>
      </c>
      <c r="H11" s="47">
        <f>Tabela_Ckt_TUE[[#This Row],[Potência (W)]]/Tabela_Ckt_TUE[[#This Row],[FP]]</f>
        <v>0</v>
      </c>
      <c r="J11" s="45">
        <f>Sistema!B25</f>
        <v>0</v>
      </c>
      <c r="K11" s="47">
        <f>Tabela_Ckt_TUG[Potência (W)]/$D$17</f>
        <v>0</v>
      </c>
      <c r="L11" s="45">
        <f>Sistema!C25</f>
        <v>0</v>
      </c>
      <c r="N11" s="45">
        <f>Sistema!F25</f>
        <v>0</v>
      </c>
      <c r="O11" s="47">
        <f>Tabela_Ckt_Ilu.[Potência (W)]/$D$17</f>
        <v>0</v>
      </c>
      <c r="P11" s="45">
        <f>Sistema!G25</f>
        <v>0</v>
      </c>
    </row>
    <row r="12" spans="2:16" x14ac:dyDescent="0.25">
      <c r="F12">
        <v>1</v>
      </c>
      <c r="G12" s="47">
        <f>Tabela_Ckt_TUE[[#This Row],[Potência (VA)]]/$D$17</f>
        <v>0</v>
      </c>
      <c r="H12" s="47">
        <f>Tabela_Ckt_TUE[[#This Row],[Potência (W)]]/Tabela_Ckt_TUE[[#This Row],[FP]]</f>
        <v>0</v>
      </c>
      <c r="J12" s="45">
        <f>Sistema!B26</f>
        <v>0</v>
      </c>
      <c r="K12" s="47">
        <f>Tabela_Ckt_TUG[Potência (W)]/$D$17</f>
        <v>0</v>
      </c>
      <c r="L12" s="45">
        <f>Sistema!C26</f>
        <v>0</v>
      </c>
      <c r="N12" s="45">
        <f>Sistema!F26</f>
        <v>0</v>
      </c>
      <c r="O12" s="47">
        <f>Tabela_Ckt_Ilu.[Potência (W)]/$D$17</f>
        <v>0</v>
      </c>
      <c r="P12" s="45">
        <f>Sistema!G26</f>
        <v>0</v>
      </c>
    </row>
    <row r="13" spans="2:16" x14ac:dyDescent="0.25">
      <c r="F13">
        <v>1</v>
      </c>
      <c r="G13" s="47">
        <f>Tabela_Ckt_TUE[[#This Row],[Potência (VA)]]/$D$17</f>
        <v>0</v>
      </c>
      <c r="H13" s="47">
        <f>Tabela_Ckt_TUE[[#This Row],[Potência (W)]]/Tabela_Ckt_TUE[[#This Row],[FP]]</f>
        <v>0</v>
      </c>
      <c r="J13" s="45">
        <f>Sistema!B27</f>
        <v>0</v>
      </c>
      <c r="K13" s="47">
        <f>Tabela_Ckt_TUG[Potência (W)]/$D$17</f>
        <v>0</v>
      </c>
      <c r="L13" s="45">
        <f>Sistema!C27</f>
        <v>0</v>
      </c>
      <c r="N13" s="45">
        <f>Sistema!F27</f>
        <v>0</v>
      </c>
      <c r="O13" s="47">
        <f>Tabela_Ckt_Ilu.[Potência (W)]/$D$17</f>
        <v>0</v>
      </c>
      <c r="P13" s="45">
        <f>Sistema!G27</f>
        <v>0</v>
      </c>
    </row>
    <row r="14" spans="2:16" x14ac:dyDescent="0.25">
      <c r="F14">
        <v>1</v>
      </c>
      <c r="G14" s="47">
        <f>Tabela_Ckt_TUE[[#This Row],[Potência (VA)]]/$D$17</f>
        <v>0</v>
      </c>
      <c r="H14" s="47">
        <f>Tabela_Ckt_TUE[[#This Row],[Potência (W)]]/Tabela_Ckt_TUE[[#This Row],[FP]]</f>
        <v>0</v>
      </c>
      <c r="J14" s="45">
        <f>Sistema!B28</f>
        <v>0</v>
      </c>
      <c r="K14" s="47">
        <f>Tabela_Ckt_TUG[Potência (W)]/$D$17</f>
        <v>0</v>
      </c>
      <c r="L14" s="45">
        <f>Sistema!C28</f>
        <v>0</v>
      </c>
      <c r="N14" s="45">
        <f>Sistema!F28</f>
        <v>0</v>
      </c>
      <c r="O14" s="47">
        <f>Tabela_Ckt_Ilu.[Potência (W)]/$D$17</f>
        <v>0</v>
      </c>
      <c r="P14" s="45">
        <f>Sistema!G28</f>
        <v>0</v>
      </c>
    </row>
    <row r="16" spans="2:16" x14ac:dyDescent="0.25">
      <c r="D16" s="6" t="s">
        <v>134</v>
      </c>
      <c r="E16" s="69" t="s">
        <v>147</v>
      </c>
    </row>
    <row r="17" spans="4:5" x14ac:dyDescent="0.25">
      <c r="D17" s="63">
        <v>220</v>
      </c>
      <c r="E17" s="63">
        <v>220</v>
      </c>
    </row>
  </sheetData>
  <mergeCells count="3">
    <mergeCell ref="B2:H2"/>
    <mergeCell ref="J2:L2"/>
    <mergeCell ref="N2:P2"/>
  </mergeCells>
  <conditionalFormatting sqref="K4:K14 O4:O14">
    <cfRule type="cellIs" dxfId="25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!" error="Este cômodo não foi cadastrado." xr:uid="{E7F3FF73-5D0A-4973-B64D-866C597FC62C}">
          <x14:formula1>
            <xm:f>'Dimensionamento cômodos'!$B$4:$B$24</xm:f>
          </x14:formula1>
          <xm:sqref>D4:D14</xm:sqref>
        </x14:dataValidation>
        <x14:dataValidation type="list" allowBlank="1" showInputMessage="1" showErrorMessage="1" errorTitle="Erro!" error="Tensão de alimentação inválida." xr:uid="{DAA72343-25AE-415F-B41E-4CD880AC0F8D}">
          <x14:formula1>
            <xm:f>Sistema!$K$2:$K$3</xm:f>
          </x14:formula1>
          <xm:sqref>D17:E17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1E3E-0576-44AC-BD44-3E865C6741B8}">
  <sheetPr codeName="Planilha8"/>
  <dimension ref="B1:S135"/>
  <sheetViews>
    <sheetView workbookViewId="0">
      <pane xSplit="2" topLeftCell="K1" activePane="topRight" state="frozen"/>
      <selection pane="topRight" activeCell="Q9" sqref="Q9"/>
    </sheetView>
  </sheetViews>
  <sheetFormatPr defaultRowHeight="15" x14ac:dyDescent="0.25"/>
  <cols>
    <col min="1" max="1" width="2.7109375" customWidth="1"/>
    <col min="2" max="2" width="10.42578125" bestFit="1" customWidth="1"/>
    <col min="3" max="3" width="13.28515625" bestFit="1" customWidth="1"/>
    <col min="4" max="4" width="12.5703125" customWidth="1"/>
    <col min="5" max="5" width="19.42578125" bestFit="1" customWidth="1"/>
    <col min="6" max="6" width="19.42578125" customWidth="1"/>
    <col min="7" max="7" width="20.28515625" bestFit="1" customWidth="1"/>
    <col min="8" max="8" width="19.42578125" customWidth="1"/>
    <col min="9" max="9" width="20.140625" bestFit="1" customWidth="1"/>
    <col min="10" max="11" width="19.42578125" bestFit="1" customWidth="1"/>
    <col min="12" max="12" width="21.7109375" bestFit="1" customWidth="1"/>
    <col min="13" max="13" width="19.42578125" bestFit="1" customWidth="1"/>
    <col min="14" max="14" width="18.28515625" bestFit="1" customWidth="1"/>
    <col min="15" max="15" width="18.28515625" customWidth="1"/>
    <col min="16" max="16" width="17" bestFit="1" customWidth="1"/>
    <col min="17" max="17" width="14.85546875" bestFit="1" customWidth="1"/>
    <col min="18" max="18" width="17.5703125" bestFit="1" customWidth="1"/>
    <col min="19" max="19" width="24.5703125" bestFit="1" customWidth="1"/>
  </cols>
  <sheetData>
    <row r="1" spans="2:19" ht="44.25" customHeight="1" x14ac:dyDescent="0.25"/>
    <row r="2" spans="2:19" x14ac:dyDescent="0.25">
      <c r="F2" s="71" t="s">
        <v>138</v>
      </c>
      <c r="G2" s="71"/>
      <c r="H2" s="71"/>
      <c r="J2" s="71" t="s">
        <v>142</v>
      </c>
      <c r="K2" s="71"/>
      <c r="L2" s="71"/>
      <c r="M2" s="71"/>
      <c r="N2" s="71"/>
      <c r="O2" s="72" t="s">
        <v>149</v>
      </c>
      <c r="P2" s="73"/>
      <c r="Q2" s="73"/>
      <c r="R2" s="73"/>
    </row>
    <row r="3" spans="2:19" ht="15.75" thickBot="1" x14ac:dyDescent="0.3">
      <c r="B3" s="51" t="s">
        <v>41</v>
      </c>
      <c r="C3" s="52" t="s">
        <v>36</v>
      </c>
      <c r="D3" s="52" t="s">
        <v>43</v>
      </c>
      <c r="E3" s="58" t="s">
        <v>45</v>
      </c>
      <c r="F3" s="58" t="s">
        <v>139</v>
      </c>
      <c r="G3" s="58" t="s">
        <v>140</v>
      </c>
      <c r="H3" s="58" t="s">
        <v>141</v>
      </c>
      <c r="I3" s="52" t="s">
        <v>103</v>
      </c>
      <c r="J3" s="58" t="s">
        <v>110</v>
      </c>
      <c r="K3" s="58" t="s">
        <v>120</v>
      </c>
      <c r="L3" s="58" t="s">
        <v>129</v>
      </c>
      <c r="M3" s="52" t="s">
        <v>128</v>
      </c>
      <c r="N3" s="52" t="s">
        <v>131</v>
      </c>
      <c r="O3" s="58" t="s">
        <v>144</v>
      </c>
      <c r="P3" s="52" t="s">
        <v>132</v>
      </c>
      <c r="Q3" s="52" t="s">
        <v>146</v>
      </c>
      <c r="R3" s="52" t="s">
        <v>131</v>
      </c>
      <c r="S3" s="52" t="s">
        <v>143</v>
      </c>
    </row>
    <row r="4" spans="2:19" s="65" customFormat="1" ht="15.75" thickTop="1" x14ac:dyDescent="0.25">
      <c r="B4" s="64">
        <v>0</v>
      </c>
      <c r="C4" s="66">
        <f>Proteção!H12</f>
        <v>11260.695652173912</v>
      </c>
      <c r="D4" s="60">
        <f>C4/'Div. ckts'!$D$17</f>
        <v>51.184980237154143</v>
      </c>
      <c r="E4" s="56">
        <v>1</v>
      </c>
      <c r="F4" s="56">
        <v>0.87</v>
      </c>
      <c r="G4" s="56">
        <v>1</v>
      </c>
      <c r="H4" s="56">
        <v>1</v>
      </c>
      <c r="I4" s="61">
        <f>D4*E4/(F4*G4*H4)</f>
        <v>58.833310617418555</v>
      </c>
      <c r="J4" s="56"/>
      <c r="K4" s="56"/>
      <c r="L4" s="56"/>
      <c r="M4" s="56"/>
      <c r="N4" s="56">
        <v>2.5</v>
      </c>
      <c r="O4" s="56">
        <v>1.7850000000000001E-2</v>
      </c>
      <c r="P4" s="56">
        <v>10</v>
      </c>
      <c r="Q4" s="56">
        <v>5</v>
      </c>
      <c r="R4" s="55">
        <f>(200*O4*P4*D4)/(Q4*'Div. ckts'!$E$17)</f>
        <v>1.66118526769673</v>
      </c>
      <c r="S4" s="55">
        <f t="shared" ref="S4:S35" si="0">MAX(N4,R4)</f>
        <v>2.5</v>
      </c>
    </row>
    <row r="5" spans="2:19" x14ac:dyDescent="0.25">
      <c r="B5" s="53">
        <f>Proteção!B4</f>
        <v>1</v>
      </c>
      <c r="C5" s="60">
        <f>Proteção!C4</f>
        <v>2173.913043478261</v>
      </c>
      <c r="D5" s="60">
        <f>C5/'Div. ckts'!$D$17</f>
        <v>9.8814229249011856</v>
      </c>
      <c r="E5" s="54">
        <v>1</v>
      </c>
      <c r="F5" s="54">
        <v>0.71</v>
      </c>
      <c r="G5" s="54">
        <v>1</v>
      </c>
      <c r="H5" s="54">
        <v>1</v>
      </c>
      <c r="I5" s="61">
        <f>D5*E5/(F5*G5*H5)</f>
        <v>13.917497077325613</v>
      </c>
      <c r="J5" s="54"/>
      <c r="K5" s="54"/>
      <c r="L5" s="54"/>
      <c r="M5" s="54"/>
      <c r="N5" s="54"/>
      <c r="O5" s="54"/>
      <c r="P5" s="54"/>
      <c r="Q5" s="54"/>
      <c r="R5" s="55" t="e">
        <f>(200*O5*P5*D5)/(Q5*'Div. ckts'!$E$17)</f>
        <v>#DIV/0!</v>
      </c>
      <c r="S5" s="55" t="e">
        <f t="shared" si="0"/>
        <v>#DIV/0!</v>
      </c>
    </row>
    <row r="6" spans="2:19" x14ac:dyDescent="0.25">
      <c r="B6" s="53">
        <f>Proteção!B5</f>
        <v>2</v>
      </c>
      <c r="C6" s="60">
        <f>Proteção!C5</f>
        <v>3750</v>
      </c>
      <c r="D6" s="60">
        <f>C6/'Div. ckts'!$D$17</f>
        <v>17.045454545454547</v>
      </c>
      <c r="E6" s="56">
        <v>1</v>
      </c>
      <c r="F6" s="56">
        <v>0.87</v>
      </c>
      <c r="G6" s="56">
        <v>1</v>
      </c>
      <c r="H6" s="56">
        <v>1</v>
      </c>
      <c r="I6" s="61">
        <f t="shared" ref="I6:I69" si="1">D6*E6/(F6*G6*H6)</f>
        <v>19.592476489028215</v>
      </c>
      <c r="J6" s="56"/>
      <c r="K6" s="56"/>
      <c r="L6" s="56"/>
      <c r="M6" s="56"/>
      <c r="N6" s="56"/>
      <c r="O6" s="56"/>
      <c r="P6" s="56"/>
      <c r="Q6" s="56"/>
      <c r="R6" s="55" t="e">
        <f>(200*O6*P6*D6)/(Q6*'Div. ckts'!$E$17)</f>
        <v>#DIV/0!</v>
      </c>
      <c r="S6" s="55" t="e">
        <f t="shared" si="0"/>
        <v>#DIV/0!</v>
      </c>
    </row>
    <row r="7" spans="2:19" x14ac:dyDescent="0.25">
      <c r="B7" s="53">
        <f>Proteção!B6</f>
        <v>3</v>
      </c>
      <c r="C7" s="60">
        <f>Proteção!C6</f>
        <v>1800</v>
      </c>
      <c r="D7" s="60">
        <f>C7/'Div. ckts'!$D$17</f>
        <v>8.1818181818181817</v>
      </c>
      <c r="E7" s="54">
        <v>1</v>
      </c>
      <c r="F7" s="54">
        <v>0.87</v>
      </c>
      <c r="G7" s="54">
        <v>1</v>
      </c>
      <c r="H7" s="54">
        <v>1</v>
      </c>
      <c r="I7" s="61">
        <f t="shared" si="1"/>
        <v>9.4043887147335425</v>
      </c>
      <c r="J7" s="54"/>
      <c r="K7" s="54"/>
      <c r="L7" s="54"/>
      <c r="M7" s="54"/>
      <c r="N7" s="54"/>
      <c r="O7" s="54"/>
      <c r="P7" s="54"/>
      <c r="Q7" s="54"/>
      <c r="R7" s="55" t="e">
        <f>(200*O7*P7*D7)/(Q7*'Div. ckts'!$E$17)</f>
        <v>#DIV/0!</v>
      </c>
      <c r="S7" s="55" t="e">
        <f t="shared" si="0"/>
        <v>#DIV/0!</v>
      </c>
    </row>
    <row r="8" spans="2:19" x14ac:dyDescent="0.25">
      <c r="B8" s="53">
        <f>Proteção!B7</f>
        <v>4</v>
      </c>
      <c r="C8" s="60">
        <f>Proteção!C7</f>
        <v>1000</v>
      </c>
      <c r="D8" s="60">
        <f>C8/'Div. ckts'!$D$17</f>
        <v>4.5454545454545459</v>
      </c>
      <c r="E8" s="56">
        <v>1</v>
      </c>
      <c r="F8" s="56">
        <v>0.87</v>
      </c>
      <c r="G8" s="56">
        <v>1</v>
      </c>
      <c r="H8" s="56">
        <v>1</v>
      </c>
      <c r="I8" s="61">
        <f t="shared" si="1"/>
        <v>5.2246603970741905</v>
      </c>
      <c r="J8" s="56"/>
      <c r="K8" s="56"/>
      <c r="L8" s="56"/>
      <c r="M8" s="56"/>
      <c r="N8" s="56"/>
      <c r="O8" s="56"/>
      <c r="P8" s="56"/>
      <c r="Q8" s="56"/>
      <c r="R8" s="55" t="e">
        <f>(200*O8*P8*D8)/(Q8*'Div. ckts'!$E$17)</f>
        <v>#DIV/0!</v>
      </c>
      <c r="S8" s="55" t="e">
        <f t="shared" si="0"/>
        <v>#DIV/0!</v>
      </c>
    </row>
    <row r="9" spans="2:19" x14ac:dyDescent="0.25">
      <c r="B9" s="53">
        <f>Proteção!B8</f>
        <v>5</v>
      </c>
      <c r="C9" s="60">
        <f>Proteção!C8</f>
        <v>280</v>
      </c>
      <c r="D9" s="60">
        <f>C9/'Div. ckts'!$D$17</f>
        <v>1.2727272727272727</v>
      </c>
      <c r="E9" s="54">
        <v>1</v>
      </c>
      <c r="F9" s="54">
        <v>0.87</v>
      </c>
      <c r="G9" s="54">
        <v>1</v>
      </c>
      <c r="H9" s="54">
        <v>1</v>
      </c>
      <c r="I9" s="61">
        <f t="shared" si="1"/>
        <v>1.4629049111807733</v>
      </c>
      <c r="J9" s="54"/>
      <c r="K9" s="54"/>
      <c r="L9" s="54"/>
      <c r="M9" s="54"/>
      <c r="N9" s="54"/>
      <c r="O9" s="54"/>
      <c r="P9" s="54"/>
      <c r="Q9" s="54"/>
      <c r="R9" s="55" t="e">
        <f>(200*O9*P9*D9)/(Q9*'Div. ckts'!$E$17)</f>
        <v>#DIV/0!</v>
      </c>
      <c r="S9" s="55" t="e">
        <f t="shared" si="0"/>
        <v>#DIV/0!</v>
      </c>
    </row>
    <row r="10" spans="2:19" x14ac:dyDescent="0.25">
      <c r="B10" s="53">
        <f>Proteção!B9</f>
        <v>6</v>
      </c>
      <c r="C10" s="60">
        <f>Proteção!C9</f>
        <v>380</v>
      </c>
      <c r="D10" s="60">
        <f>C10/'Div. ckts'!$D$17</f>
        <v>1.7272727272727273</v>
      </c>
      <c r="E10" s="56">
        <v>1</v>
      </c>
      <c r="F10" s="56">
        <v>0.87</v>
      </c>
      <c r="G10" s="56">
        <v>1</v>
      </c>
      <c r="H10" s="56">
        <v>1</v>
      </c>
      <c r="I10" s="61">
        <f t="shared" si="1"/>
        <v>1.9853709508881923</v>
      </c>
      <c r="J10" s="56"/>
      <c r="K10" s="56"/>
      <c r="L10" s="56"/>
      <c r="M10" s="56"/>
      <c r="N10" s="56"/>
      <c r="O10" s="56"/>
      <c r="P10" s="56"/>
      <c r="Q10" s="56"/>
      <c r="R10" s="55" t="e">
        <f>(200*O10*P10*D10)/(Q10*'Div. ckts'!$E$17)</f>
        <v>#DIV/0!</v>
      </c>
      <c r="S10" s="55" t="e">
        <f t="shared" si="0"/>
        <v>#DIV/0!</v>
      </c>
    </row>
    <row r="11" spans="2:19" x14ac:dyDescent="0.25">
      <c r="B11" s="53">
        <f>Proteção!B10</f>
        <v>0</v>
      </c>
      <c r="C11" s="60">
        <f>Proteção!C10</f>
        <v>0</v>
      </c>
      <c r="D11" s="60">
        <f>C11/'Div. ckts'!$D$17</f>
        <v>0</v>
      </c>
      <c r="E11" s="54">
        <v>1</v>
      </c>
      <c r="F11" s="54">
        <v>1</v>
      </c>
      <c r="G11" s="54">
        <v>1</v>
      </c>
      <c r="H11" s="54">
        <v>1</v>
      </c>
      <c r="I11" s="61">
        <f t="shared" si="1"/>
        <v>0</v>
      </c>
      <c r="J11" s="54"/>
      <c r="K11" s="54"/>
      <c r="L11" s="54"/>
      <c r="M11" s="54"/>
      <c r="N11" s="54"/>
      <c r="O11" s="54"/>
      <c r="P11" s="54"/>
      <c r="Q11" s="54"/>
      <c r="R11" s="55" t="e">
        <f>(200*O11*P11*D11)/(Q11*'Div. ckts'!$E$17)</f>
        <v>#DIV/0!</v>
      </c>
      <c r="S11" s="55" t="e">
        <f t="shared" si="0"/>
        <v>#DIV/0!</v>
      </c>
    </row>
    <row r="12" spans="2:19" x14ac:dyDescent="0.25">
      <c r="B12" s="53">
        <f>Proteção!B11</f>
        <v>0</v>
      </c>
      <c r="C12" s="60">
        <f>Proteção!C11</f>
        <v>0</v>
      </c>
      <c r="D12" s="60">
        <f>C12/'Div. ckts'!$D$17</f>
        <v>0</v>
      </c>
      <c r="E12" s="56">
        <v>1</v>
      </c>
      <c r="F12" s="56">
        <v>1</v>
      </c>
      <c r="G12" s="56">
        <v>1</v>
      </c>
      <c r="H12" s="56">
        <v>1</v>
      </c>
      <c r="I12" s="61">
        <f t="shared" si="1"/>
        <v>0</v>
      </c>
      <c r="J12" s="56"/>
      <c r="K12" s="56"/>
      <c r="L12" s="56"/>
      <c r="M12" s="56"/>
      <c r="N12" s="56"/>
      <c r="O12" s="56"/>
      <c r="P12" s="56"/>
      <c r="Q12" s="56"/>
      <c r="R12" s="55" t="e">
        <f>(200*O12*P12*D12)/(Q12*'Div. ckts'!$E$17)</f>
        <v>#DIV/0!</v>
      </c>
      <c r="S12" s="55" t="e">
        <f t="shared" si="0"/>
        <v>#DIV/0!</v>
      </c>
    </row>
    <row r="13" spans="2:19" x14ac:dyDescent="0.25">
      <c r="B13" s="53">
        <f>Proteção!B12</f>
        <v>0</v>
      </c>
      <c r="C13" s="60">
        <f>Proteção!C12</f>
        <v>0</v>
      </c>
      <c r="D13" s="60">
        <f>C13/'Div. ckts'!$D$17</f>
        <v>0</v>
      </c>
      <c r="E13" s="54">
        <v>1</v>
      </c>
      <c r="F13" s="54">
        <v>1</v>
      </c>
      <c r="G13" s="54">
        <v>1</v>
      </c>
      <c r="H13" s="54">
        <v>1</v>
      </c>
      <c r="I13" s="61">
        <f t="shared" si="1"/>
        <v>0</v>
      </c>
      <c r="J13" s="54"/>
      <c r="K13" s="54"/>
      <c r="L13" s="54"/>
      <c r="M13" s="54"/>
      <c r="N13" s="54"/>
      <c r="O13" s="54"/>
      <c r="P13" s="54"/>
      <c r="Q13" s="54"/>
      <c r="R13" s="55" t="e">
        <f>(200*O13*P13*D13)/(Q13*'Div. ckts'!$E$17)</f>
        <v>#DIV/0!</v>
      </c>
      <c r="S13" s="55" t="e">
        <f t="shared" si="0"/>
        <v>#DIV/0!</v>
      </c>
    </row>
    <row r="14" spans="2:19" x14ac:dyDescent="0.25">
      <c r="B14" s="53">
        <f>Proteção!B13</f>
        <v>0</v>
      </c>
      <c r="C14" s="60">
        <f>Proteção!C13</f>
        <v>0</v>
      </c>
      <c r="D14" s="60">
        <f>C14/'Div. ckts'!$D$17</f>
        <v>0</v>
      </c>
      <c r="E14" s="56">
        <v>1</v>
      </c>
      <c r="F14" s="56">
        <v>1</v>
      </c>
      <c r="G14" s="56">
        <v>1</v>
      </c>
      <c r="H14" s="56">
        <v>1</v>
      </c>
      <c r="I14" s="61">
        <f t="shared" si="1"/>
        <v>0</v>
      </c>
      <c r="J14" s="56"/>
      <c r="K14" s="56"/>
      <c r="L14" s="56"/>
      <c r="M14" s="56"/>
      <c r="N14" s="56"/>
      <c r="O14" s="56"/>
      <c r="P14" s="56"/>
      <c r="Q14" s="56"/>
      <c r="R14" s="55" t="e">
        <f>(200*O14*P14*D14)/(Q14*'Div. ckts'!$E$17)</f>
        <v>#DIV/0!</v>
      </c>
      <c r="S14" s="55" t="e">
        <f t="shared" si="0"/>
        <v>#DIV/0!</v>
      </c>
    </row>
    <row r="15" spans="2:19" x14ac:dyDescent="0.25">
      <c r="B15" s="53">
        <f>Proteção!B14</f>
        <v>0</v>
      </c>
      <c r="C15" s="60">
        <f>Proteção!C14</f>
        <v>0</v>
      </c>
      <c r="D15" s="60">
        <f>C15/'Div. ckts'!$D$17</f>
        <v>0</v>
      </c>
      <c r="E15" s="54">
        <v>1</v>
      </c>
      <c r="F15" s="54">
        <v>1</v>
      </c>
      <c r="G15" s="54">
        <v>1</v>
      </c>
      <c r="H15" s="54">
        <v>1</v>
      </c>
      <c r="I15" s="61">
        <f t="shared" si="1"/>
        <v>0</v>
      </c>
      <c r="J15" s="54"/>
      <c r="K15" s="54"/>
      <c r="L15" s="54"/>
      <c r="M15" s="54"/>
      <c r="N15" s="54"/>
      <c r="O15" s="54"/>
      <c r="P15" s="54"/>
      <c r="Q15" s="54"/>
      <c r="R15" s="55" t="e">
        <f>(200*O15*P15*D15)/(Q15*'Div. ckts'!$E$17)</f>
        <v>#DIV/0!</v>
      </c>
      <c r="S15" s="55" t="e">
        <f t="shared" si="0"/>
        <v>#DIV/0!</v>
      </c>
    </row>
    <row r="16" spans="2:19" x14ac:dyDescent="0.25">
      <c r="B16" s="53">
        <f>Proteção!B15</f>
        <v>0</v>
      </c>
      <c r="C16" s="60">
        <f>Proteção!C15</f>
        <v>0</v>
      </c>
      <c r="D16" s="60">
        <f>C16/'Div. ckts'!$D$17</f>
        <v>0</v>
      </c>
      <c r="E16" s="56">
        <v>1</v>
      </c>
      <c r="F16" s="56">
        <v>1</v>
      </c>
      <c r="G16" s="56">
        <v>1</v>
      </c>
      <c r="H16" s="56">
        <v>1</v>
      </c>
      <c r="I16" s="61">
        <f t="shared" si="1"/>
        <v>0</v>
      </c>
      <c r="J16" s="56"/>
      <c r="K16" s="56"/>
      <c r="L16" s="56"/>
      <c r="M16" s="56"/>
      <c r="N16" s="56"/>
      <c r="O16" s="56"/>
      <c r="P16" s="56"/>
      <c r="Q16" s="56"/>
      <c r="R16" s="55" t="e">
        <f>(200*O16*P16*D16)/(Q16*'Div. ckts'!$E$17)</f>
        <v>#DIV/0!</v>
      </c>
      <c r="S16" s="55" t="e">
        <f t="shared" si="0"/>
        <v>#DIV/0!</v>
      </c>
    </row>
    <row r="17" spans="2:19" x14ac:dyDescent="0.25">
      <c r="B17" s="53">
        <f>Proteção!B16</f>
        <v>0</v>
      </c>
      <c r="C17" s="60">
        <f>Proteção!C16</f>
        <v>0</v>
      </c>
      <c r="D17" s="60">
        <f>C17/'Div. ckts'!$D$17</f>
        <v>0</v>
      </c>
      <c r="E17" s="54">
        <v>1</v>
      </c>
      <c r="F17" s="54">
        <v>1</v>
      </c>
      <c r="G17" s="54">
        <v>1</v>
      </c>
      <c r="H17" s="54">
        <v>1</v>
      </c>
      <c r="I17" s="61">
        <f t="shared" si="1"/>
        <v>0</v>
      </c>
      <c r="J17" s="54"/>
      <c r="K17" s="54"/>
      <c r="L17" s="54"/>
      <c r="M17" s="54"/>
      <c r="N17" s="54"/>
      <c r="O17" s="54"/>
      <c r="P17" s="54"/>
      <c r="Q17" s="54"/>
      <c r="R17" s="55" t="e">
        <f>(200*O17*P17*D17)/(Q17*'Div. ckts'!$E$17)</f>
        <v>#DIV/0!</v>
      </c>
      <c r="S17" s="55" t="e">
        <f t="shared" si="0"/>
        <v>#DIV/0!</v>
      </c>
    </row>
    <row r="18" spans="2:19" x14ac:dyDescent="0.25">
      <c r="B18" s="53">
        <f>Proteção!B17</f>
        <v>0</v>
      </c>
      <c r="C18" s="60">
        <f>Proteção!C17</f>
        <v>0</v>
      </c>
      <c r="D18" s="60">
        <f>C18/'Div. ckts'!$D$17</f>
        <v>0</v>
      </c>
      <c r="E18" s="56">
        <v>1</v>
      </c>
      <c r="F18" s="56">
        <v>1</v>
      </c>
      <c r="G18" s="56">
        <v>1</v>
      </c>
      <c r="H18" s="56">
        <v>1</v>
      </c>
      <c r="I18" s="61">
        <f t="shared" si="1"/>
        <v>0</v>
      </c>
      <c r="J18" s="56"/>
      <c r="K18" s="56"/>
      <c r="L18" s="56"/>
      <c r="M18" s="56"/>
      <c r="N18" s="56"/>
      <c r="O18" s="56"/>
      <c r="P18" s="56"/>
      <c r="Q18" s="56"/>
      <c r="R18" s="55" t="e">
        <f>(200*O18*P18*D18)/(Q18*'Div. ckts'!$E$17)</f>
        <v>#DIV/0!</v>
      </c>
      <c r="S18" s="55" t="e">
        <f t="shared" si="0"/>
        <v>#DIV/0!</v>
      </c>
    </row>
    <row r="19" spans="2:19" x14ac:dyDescent="0.25">
      <c r="B19" s="53">
        <f>Proteção!B18</f>
        <v>0</v>
      </c>
      <c r="C19" s="60">
        <f>Proteção!C18</f>
        <v>0</v>
      </c>
      <c r="D19" s="60">
        <f>C19/'Div. ckts'!$D$17</f>
        <v>0</v>
      </c>
      <c r="E19" s="54">
        <v>1</v>
      </c>
      <c r="F19" s="54">
        <v>1</v>
      </c>
      <c r="G19" s="54">
        <v>1</v>
      </c>
      <c r="H19" s="54">
        <v>1</v>
      </c>
      <c r="I19" s="61">
        <f t="shared" si="1"/>
        <v>0</v>
      </c>
      <c r="J19" s="54"/>
      <c r="K19" s="54"/>
      <c r="L19" s="54"/>
      <c r="M19" s="54"/>
      <c r="N19" s="54"/>
      <c r="O19" s="54"/>
      <c r="P19" s="54"/>
      <c r="Q19" s="54"/>
      <c r="R19" s="55" t="e">
        <f>(200*O19*P19*D19)/(Q19*'Div. ckts'!$E$17)</f>
        <v>#DIV/0!</v>
      </c>
      <c r="S19" s="55" t="e">
        <f t="shared" si="0"/>
        <v>#DIV/0!</v>
      </c>
    </row>
    <row r="20" spans="2:19" x14ac:dyDescent="0.25">
      <c r="B20" s="53">
        <f>Proteção!B19</f>
        <v>0</v>
      </c>
      <c r="C20" s="60">
        <f>Proteção!C19</f>
        <v>0</v>
      </c>
      <c r="D20" s="60">
        <f>C20/'Div. ckts'!$D$17</f>
        <v>0</v>
      </c>
      <c r="E20" s="56">
        <v>1</v>
      </c>
      <c r="F20" s="56">
        <v>1</v>
      </c>
      <c r="G20" s="56">
        <v>1</v>
      </c>
      <c r="H20" s="56">
        <v>1</v>
      </c>
      <c r="I20" s="61">
        <f t="shared" si="1"/>
        <v>0</v>
      </c>
      <c r="J20" s="56"/>
      <c r="K20" s="56"/>
      <c r="L20" s="56"/>
      <c r="M20" s="56"/>
      <c r="N20" s="56"/>
      <c r="O20" s="56"/>
      <c r="P20" s="56"/>
      <c r="Q20" s="56"/>
      <c r="R20" s="55" t="e">
        <f>(200*O20*P20*D20)/(Q20*'Div. ckts'!$E$17)</f>
        <v>#DIV/0!</v>
      </c>
      <c r="S20" s="55" t="e">
        <f t="shared" si="0"/>
        <v>#DIV/0!</v>
      </c>
    </row>
    <row r="21" spans="2:19" x14ac:dyDescent="0.25">
      <c r="B21" s="53">
        <f>Proteção!B20</f>
        <v>0</v>
      </c>
      <c r="C21" s="60">
        <f>Proteção!C20</f>
        <v>0</v>
      </c>
      <c r="D21" s="60">
        <f>C21/'Div. ckts'!$D$17</f>
        <v>0</v>
      </c>
      <c r="E21" s="54">
        <v>1</v>
      </c>
      <c r="F21" s="54">
        <v>1</v>
      </c>
      <c r="G21" s="54">
        <v>1</v>
      </c>
      <c r="H21" s="54">
        <v>1</v>
      </c>
      <c r="I21" s="61">
        <f t="shared" si="1"/>
        <v>0</v>
      </c>
      <c r="J21" s="54"/>
      <c r="K21" s="54"/>
      <c r="L21" s="54"/>
      <c r="M21" s="54"/>
      <c r="N21" s="54"/>
      <c r="O21" s="54"/>
      <c r="P21" s="54"/>
      <c r="Q21" s="54"/>
      <c r="R21" s="55" t="e">
        <f>(200*O21*P21*D21)/(Q21*'Div. ckts'!$E$17)</f>
        <v>#DIV/0!</v>
      </c>
      <c r="S21" s="55" t="e">
        <f t="shared" si="0"/>
        <v>#DIV/0!</v>
      </c>
    </row>
    <row r="22" spans="2:19" x14ac:dyDescent="0.25">
      <c r="B22" s="53">
        <f>Proteção!B21</f>
        <v>0</v>
      </c>
      <c r="C22" s="60">
        <f>Proteção!C21</f>
        <v>0</v>
      </c>
      <c r="D22" s="60">
        <f>C22/'Div. ckts'!$D$17</f>
        <v>0</v>
      </c>
      <c r="E22" s="56">
        <v>1</v>
      </c>
      <c r="F22" s="56">
        <v>1</v>
      </c>
      <c r="G22" s="56">
        <v>1</v>
      </c>
      <c r="H22" s="56">
        <v>1</v>
      </c>
      <c r="I22" s="61">
        <f t="shared" si="1"/>
        <v>0</v>
      </c>
      <c r="J22" s="56"/>
      <c r="K22" s="56"/>
      <c r="L22" s="56"/>
      <c r="M22" s="56"/>
      <c r="N22" s="56"/>
      <c r="O22" s="56"/>
      <c r="P22" s="56"/>
      <c r="Q22" s="56"/>
      <c r="R22" s="55" t="e">
        <f>(200*O22*P22*D22)/(Q22*'Div. ckts'!$E$17)</f>
        <v>#DIV/0!</v>
      </c>
      <c r="S22" s="55" t="e">
        <f t="shared" si="0"/>
        <v>#DIV/0!</v>
      </c>
    </row>
    <row r="23" spans="2:19" x14ac:dyDescent="0.25">
      <c r="B23" s="53">
        <f>Proteção!B22</f>
        <v>0</v>
      </c>
      <c r="C23" s="60">
        <f>Proteção!C22</f>
        <v>0</v>
      </c>
      <c r="D23" s="60">
        <f>C23/'Div. ckts'!$D$17</f>
        <v>0</v>
      </c>
      <c r="E23" s="54">
        <v>1</v>
      </c>
      <c r="F23" s="54">
        <v>1</v>
      </c>
      <c r="G23" s="54">
        <v>1</v>
      </c>
      <c r="H23" s="54">
        <v>1</v>
      </c>
      <c r="I23" s="61">
        <f t="shared" si="1"/>
        <v>0</v>
      </c>
      <c r="J23" s="54"/>
      <c r="K23" s="54"/>
      <c r="L23" s="54"/>
      <c r="M23" s="54"/>
      <c r="N23" s="54"/>
      <c r="O23" s="54"/>
      <c r="P23" s="54"/>
      <c r="Q23" s="54"/>
      <c r="R23" s="55" t="e">
        <f>(200*O23*P23*D23)/(Q23*'Div. ckts'!$E$17)</f>
        <v>#DIV/0!</v>
      </c>
      <c r="S23" s="55" t="e">
        <f t="shared" si="0"/>
        <v>#DIV/0!</v>
      </c>
    </row>
    <row r="24" spans="2:19" x14ac:dyDescent="0.25">
      <c r="B24" s="53">
        <f>Proteção!B23</f>
        <v>0</v>
      </c>
      <c r="C24" s="60">
        <f>Proteção!C23</f>
        <v>0</v>
      </c>
      <c r="D24" s="60">
        <f>C24/'Div. ckts'!$D$17</f>
        <v>0</v>
      </c>
      <c r="E24" s="56">
        <v>1</v>
      </c>
      <c r="F24" s="56">
        <v>1</v>
      </c>
      <c r="G24" s="56">
        <v>1</v>
      </c>
      <c r="H24" s="56">
        <v>1</v>
      </c>
      <c r="I24" s="61">
        <f t="shared" si="1"/>
        <v>0</v>
      </c>
      <c r="J24" s="56"/>
      <c r="K24" s="56"/>
      <c r="L24" s="56"/>
      <c r="M24" s="56"/>
      <c r="N24" s="56"/>
      <c r="O24" s="56"/>
      <c r="P24" s="56"/>
      <c r="Q24" s="56"/>
      <c r="R24" s="55" t="e">
        <f>(200*O24*P24*D24)/(Q24*'Div. ckts'!$E$17)</f>
        <v>#DIV/0!</v>
      </c>
      <c r="S24" s="55" t="e">
        <f t="shared" si="0"/>
        <v>#DIV/0!</v>
      </c>
    </row>
    <row r="25" spans="2:19" x14ac:dyDescent="0.25">
      <c r="B25" s="53">
        <f>Proteção!B24</f>
        <v>0</v>
      </c>
      <c r="C25" s="60">
        <f>Proteção!C24</f>
        <v>0</v>
      </c>
      <c r="D25" s="60">
        <f>C25/'Div. ckts'!$D$17</f>
        <v>0</v>
      </c>
      <c r="E25" s="54">
        <v>1</v>
      </c>
      <c r="F25" s="54">
        <v>1</v>
      </c>
      <c r="G25" s="54">
        <v>1</v>
      </c>
      <c r="H25" s="54">
        <v>1</v>
      </c>
      <c r="I25" s="61">
        <f t="shared" si="1"/>
        <v>0</v>
      </c>
      <c r="J25" s="54"/>
      <c r="K25" s="54"/>
      <c r="L25" s="54"/>
      <c r="M25" s="54"/>
      <c r="N25" s="54"/>
      <c r="O25" s="54"/>
      <c r="P25" s="54"/>
      <c r="Q25" s="54"/>
      <c r="R25" s="55" t="e">
        <f>(200*O25*P25*D25)/(Q25*'Div. ckts'!$E$17)</f>
        <v>#DIV/0!</v>
      </c>
      <c r="S25" s="55" t="e">
        <f t="shared" si="0"/>
        <v>#DIV/0!</v>
      </c>
    </row>
    <row r="26" spans="2:19" x14ac:dyDescent="0.25">
      <c r="B26" s="53">
        <f>Proteção!B25</f>
        <v>0</v>
      </c>
      <c r="C26" s="60">
        <f>Proteção!C25</f>
        <v>0</v>
      </c>
      <c r="D26" s="60">
        <f>C26/'Div. ckts'!$D$17</f>
        <v>0</v>
      </c>
      <c r="E26" s="56">
        <v>1</v>
      </c>
      <c r="F26" s="56">
        <v>1</v>
      </c>
      <c r="G26" s="56">
        <v>1</v>
      </c>
      <c r="H26" s="56">
        <v>1</v>
      </c>
      <c r="I26" s="61">
        <f t="shared" si="1"/>
        <v>0</v>
      </c>
      <c r="J26" s="56"/>
      <c r="K26" s="56"/>
      <c r="L26" s="56"/>
      <c r="M26" s="56"/>
      <c r="N26" s="56"/>
      <c r="O26" s="56"/>
      <c r="P26" s="56"/>
      <c r="Q26" s="56"/>
      <c r="R26" s="55" t="e">
        <f>(200*O26*P26*D26)/(Q26*'Div. ckts'!$E$17)</f>
        <v>#DIV/0!</v>
      </c>
      <c r="S26" s="55" t="e">
        <f t="shared" si="0"/>
        <v>#DIV/0!</v>
      </c>
    </row>
    <row r="27" spans="2:19" x14ac:dyDescent="0.25">
      <c r="B27" s="53">
        <f>Proteção!B26</f>
        <v>0</v>
      </c>
      <c r="C27" s="60">
        <f>Proteção!C26</f>
        <v>0</v>
      </c>
      <c r="D27" s="60">
        <f>C27/'Div. ckts'!$D$17</f>
        <v>0</v>
      </c>
      <c r="E27" s="54">
        <v>1</v>
      </c>
      <c r="F27" s="54">
        <v>1</v>
      </c>
      <c r="G27" s="54">
        <v>1</v>
      </c>
      <c r="H27" s="54">
        <v>1</v>
      </c>
      <c r="I27" s="61">
        <f t="shared" si="1"/>
        <v>0</v>
      </c>
      <c r="J27" s="54"/>
      <c r="K27" s="54"/>
      <c r="L27" s="54"/>
      <c r="M27" s="54"/>
      <c r="N27" s="54"/>
      <c r="O27" s="54"/>
      <c r="P27" s="54"/>
      <c r="Q27" s="54"/>
      <c r="R27" s="55" t="e">
        <f>(200*O27*P27*D27)/(Q27*'Div. ckts'!$E$17)</f>
        <v>#DIV/0!</v>
      </c>
      <c r="S27" s="55" t="e">
        <f t="shared" si="0"/>
        <v>#DIV/0!</v>
      </c>
    </row>
    <row r="28" spans="2:19" x14ac:dyDescent="0.25">
      <c r="B28" s="53">
        <f>Proteção!B27</f>
        <v>0</v>
      </c>
      <c r="C28" s="60">
        <f>Proteção!C27</f>
        <v>0</v>
      </c>
      <c r="D28" s="60">
        <f>C28/'Div. ckts'!$D$17</f>
        <v>0</v>
      </c>
      <c r="E28" s="56">
        <v>1</v>
      </c>
      <c r="F28" s="56">
        <v>1</v>
      </c>
      <c r="G28" s="56">
        <v>1</v>
      </c>
      <c r="H28" s="56">
        <v>1</v>
      </c>
      <c r="I28" s="61">
        <f t="shared" si="1"/>
        <v>0</v>
      </c>
      <c r="J28" s="56"/>
      <c r="K28" s="56"/>
      <c r="L28" s="56"/>
      <c r="M28" s="56"/>
      <c r="N28" s="56"/>
      <c r="O28" s="56"/>
      <c r="P28" s="56"/>
      <c r="Q28" s="56"/>
      <c r="R28" s="55" t="e">
        <f>(200*O28*P28*D28)/(Q28*'Div. ckts'!$E$17)</f>
        <v>#DIV/0!</v>
      </c>
      <c r="S28" s="55" t="e">
        <f t="shared" si="0"/>
        <v>#DIV/0!</v>
      </c>
    </row>
    <row r="29" spans="2:19" x14ac:dyDescent="0.25">
      <c r="B29" s="53">
        <f>Proteção!B28</f>
        <v>0</v>
      </c>
      <c r="C29" s="60">
        <f>Proteção!C28</f>
        <v>0</v>
      </c>
      <c r="D29" s="60">
        <f>C29/'Div. ckts'!$D$17</f>
        <v>0</v>
      </c>
      <c r="E29" s="54">
        <v>1</v>
      </c>
      <c r="F29" s="54">
        <v>1</v>
      </c>
      <c r="G29" s="54">
        <v>1</v>
      </c>
      <c r="H29" s="54">
        <v>1</v>
      </c>
      <c r="I29" s="61">
        <f t="shared" si="1"/>
        <v>0</v>
      </c>
      <c r="J29" s="54"/>
      <c r="K29" s="54"/>
      <c r="L29" s="54"/>
      <c r="M29" s="54"/>
      <c r="N29" s="54"/>
      <c r="O29" s="54"/>
      <c r="P29" s="54"/>
      <c r="Q29" s="54"/>
      <c r="R29" s="55" t="e">
        <f>(200*O29*P29*D29)/(Q29*'Div. ckts'!$E$17)</f>
        <v>#DIV/0!</v>
      </c>
      <c r="S29" s="55" t="e">
        <f t="shared" si="0"/>
        <v>#DIV/0!</v>
      </c>
    </row>
    <row r="30" spans="2:19" x14ac:dyDescent="0.25">
      <c r="B30" s="53">
        <f>Proteção!B29</f>
        <v>0</v>
      </c>
      <c r="C30" s="60">
        <f>Proteção!C29</f>
        <v>0</v>
      </c>
      <c r="D30" s="60">
        <f>C30/'Div. ckts'!$D$17</f>
        <v>0</v>
      </c>
      <c r="E30" s="56">
        <v>1</v>
      </c>
      <c r="F30" s="56">
        <v>1</v>
      </c>
      <c r="G30" s="56">
        <v>1</v>
      </c>
      <c r="H30" s="56">
        <v>1</v>
      </c>
      <c r="I30" s="61">
        <f t="shared" si="1"/>
        <v>0</v>
      </c>
      <c r="J30" s="56"/>
      <c r="K30" s="56"/>
      <c r="L30" s="56"/>
      <c r="M30" s="56"/>
      <c r="N30" s="56"/>
      <c r="O30" s="56"/>
      <c r="P30" s="56"/>
      <c r="Q30" s="56"/>
      <c r="R30" s="55" t="e">
        <f>(200*O30*P30*D30)/(Q30*'Div. ckts'!$E$17)</f>
        <v>#DIV/0!</v>
      </c>
      <c r="S30" s="55" t="e">
        <f t="shared" si="0"/>
        <v>#DIV/0!</v>
      </c>
    </row>
    <row r="31" spans="2:19" x14ac:dyDescent="0.25">
      <c r="B31" s="53">
        <f>Proteção!B30</f>
        <v>0</v>
      </c>
      <c r="C31" s="60">
        <f>Proteção!C30</f>
        <v>0</v>
      </c>
      <c r="D31" s="60">
        <f>C31/'Div. ckts'!$D$17</f>
        <v>0</v>
      </c>
      <c r="E31" s="54">
        <v>1</v>
      </c>
      <c r="F31" s="54">
        <v>1</v>
      </c>
      <c r="G31" s="54">
        <v>1</v>
      </c>
      <c r="H31" s="54">
        <v>1</v>
      </c>
      <c r="I31" s="61">
        <f t="shared" si="1"/>
        <v>0</v>
      </c>
      <c r="J31" s="54"/>
      <c r="K31" s="54"/>
      <c r="L31" s="54"/>
      <c r="M31" s="54"/>
      <c r="N31" s="54"/>
      <c r="O31" s="54"/>
      <c r="P31" s="54"/>
      <c r="Q31" s="54"/>
      <c r="R31" s="55" t="e">
        <f>(200*O31*P31*D31)/(Q31*'Div. ckts'!$E$17)</f>
        <v>#DIV/0!</v>
      </c>
      <c r="S31" s="55" t="e">
        <f t="shared" si="0"/>
        <v>#DIV/0!</v>
      </c>
    </row>
    <row r="32" spans="2:19" x14ac:dyDescent="0.25">
      <c r="B32" s="53">
        <f>Proteção!B31</f>
        <v>0</v>
      </c>
      <c r="C32" s="60">
        <f>Proteção!C31</f>
        <v>0</v>
      </c>
      <c r="D32" s="60">
        <f>C32/'Div. ckts'!$D$17</f>
        <v>0</v>
      </c>
      <c r="E32" s="56">
        <v>1</v>
      </c>
      <c r="F32" s="56">
        <v>1</v>
      </c>
      <c r="G32" s="56">
        <v>1</v>
      </c>
      <c r="H32" s="56">
        <v>1</v>
      </c>
      <c r="I32" s="61">
        <f t="shared" si="1"/>
        <v>0</v>
      </c>
      <c r="J32" s="56"/>
      <c r="K32" s="56"/>
      <c r="L32" s="56"/>
      <c r="M32" s="56"/>
      <c r="N32" s="56"/>
      <c r="O32" s="56"/>
      <c r="P32" s="56"/>
      <c r="Q32" s="56"/>
      <c r="R32" s="55" t="e">
        <f>(200*O32*P32*D32)/(Q32*'Div. ckts'!$E$17)</f>
        <v>#DIV/0!</v>
      </c>
      <c r="S32" s="55" t="e">
        <f t="shared" si="0"/>
        <v>#DIV/0!</v>
      </c>
    </row>
    <row r="33" spans="2:19" x14ac:dyDescent="0.25">
      <c r="B33" s="53">
        <f>Proteção!B32</f>
        <v>0</v>
      </c>
      <c r="C33" s="60">
        <f>Proteção!C32</f>
        <v>0</v>
      </c>
      <c r="D33" s="60">
        <f>C33/'Div. ckts'!$D$17</f>
        <v>0</v>
      </c>
      <c r="E33" s="54">
        <v>1</v>
      </c>
      <c r="F33" s="54">
        <v>1</v>
      </c>
      <c r="G33" s="54">
        <v>1</v>
      </c>
      <c r="H33" s="54">
        <v>1</v>
      </c>
      <c r="I33" s="61">
        <f t="shared" si="1"/>
        <v>0</v>
      </c>
      <c r="J33" s="54"/>
      <c r="K33" s="54"/>
      <c r="L33" s="54"/>
      <c r="M33" s="54"/>
      <c r="N33" s="54"/>
      <c r="O33" s="54"/>
      <c r="P33" s="54"/>
      <c r="Q33" s="54"/>
      <c r="R33" s="55" t="e">
        <f>(200*O33*P33*D33)/(Q33*'Div. ckts'!$E$17)</f>
        <v>#DIV/0!</v>
      </c>
      <c r="S33" s="55" t="e">
        <f t="shared" si="0"/>
        <v>#DIV/0!</v>
      </c>
    </row>
    <row r="34" spans="2:19" x14ac:dyDescent="0.25">
      <c r="B34" s="53">
        <f>Proteção!B33</f>
        <v>0</v>
      </c>
      <c r="C34" s="60">
        <f>Proteção!C33</f>
        <v>0</v>
      </c>
      <c r="D34" s="60">
        <f>C34/'Div. ckts'!$D$17</f>
        <v>0</v>
      </c>
      <c r="E34" s="56">
        <v>1</v>
      </c>
      <c r="F34" s="56">
        <v>1</v>
      </c>
      <c r="G34" s="56">
        <v>1</v>
      </c>
      <c r="H34" s="56">
        <v>1</v>
      </c>
      <c r="I34" s="61">
        <f t="shared" si="1"/>
        <v>0</v>
      </c>
      <c r="J34" s="56"/>
      <c r="K34" s="56"/>
      <c r="L34" s="56"/>
      <c r="M34" s="56"/>
      <c r="N34" s="56"/>
      <c r="O34" s="56"/>
      <c r="P34" s="56"/>
      <c r="Q34" s="56"/>
      <c r="R34" s="55" t="e">
        <f>(200*O34*P34*D34)/(Q34*'Div. ckts'!$E$17)</f>
        <v>#DIV/0!</v>
      </c>
      <c r="S34" s="55" t="e">
        <f t="shared" si="0"/>
        <v>#DIV/0!</v>
      </c>
    </row>
    <row r="35" spans="2:19" x14ac:dyDescent="0.25">
      <c r="B35" s="53">
        <f>Proteção!B34</f>
        <v>0</v>
      </c>
      <c r="C35" s="60">
        <f>Proteção!C34</f>
        <v>0</v>
      </c>
      <c r="D35" s="60">
        <f>C35/'Div. ckts'!$D$17</f>
        <v>0</v>
      </c>
      <c r="E35" s="54">
        <v>1</v>
      </c>
      <c r="F35" s="54">
        <v>1</v>
      </c>
      <c r="G35" s="54">
        <v>1</v>
      </c>
      <c r="H35" s="54">
        <v>1</v>
      </c>
      <c r="I35" s="61">
        <f t="shared" si="1"/>
        <v>0</v>
      </c>
      <c r="J35" s="54"/>
      <c r="K35" s="54"/>
      <c r="L35" s="54"/>
      <c r="M35" s="54"/>
      <c r="N35" s="54"/>
      <c r="O35" s="54"/>
      <c r="P35" s="54"/>
      <c r="Q35" s="54"/>
      <c r="R35" s="55" t="e">
        <f>(200*O35*P35*D35)/(Q35*'Div. ckts'!$E$17)</f>
        <v>#DIV/0!</v>
      </c>
      <c r="S35" s="55" t="e">
        <f t="shared" si="0"/>
        <v>#DIV/0!</v>
      </c>
    </row>
    <row r="36" spans="2:19" x14ac:dyDescent="0.25">
      <c r="B36" s="53">
        <f>Proteção!B35</f>
        <v>0</v>
      </c>
      <c r="C36" s="60">
        <f>Proteção!C35</f>
        <v>0</v>
      </c>
      <c r="D36" s="60">
        <f>C36/'Div. ckts'!$D$17</f>
        <v>0</v>
      </c>
      <c r="E36" s="56">
        <v>1</v>
      </c>
      <c r="F36" s="56">
        <v>1</v>
      </c>
      <c r="G36" s="56">
        <v>1</v>
      </c>
      <c r="H36" s="56">
        <v>1</v>
      </c>
      <c r="I36" s="61">
        <f t="shared" si="1"/>
        <v>0</v>
      </c>
      <c r="J36" s="56"/>
      <c r="K36" s="56"/>
      <c r="L36" s="56"/>
      <c r="M36" s="56"/>
      <c r="N36" s="56"/>
      <c r="O36" s="56"/>
      <c r="P36" s="56"/>
      <c r="Q36" s="56"/>
      <c r="R36" s="55" t="e">
        <f>(200*O36*P36*D36)/(Q36*'Div. ckts'!$E$17)</f>
        <v>#DIV/0!</v>
      </c>
      <c r="S36" s="55" t="e">
        <f t="shared" ref="S36:S67" si="2">MAX(N36,R36)</f>
        <v>#DIV/0!</v>
      </c>
    </row>
    <row r="37" spans="2:19" x14ac:dyDescent="0.25">
      <c r="B37" s="53">
        <f>Proteção!B36</f>
        <v>0</v>
      </c>
      <c r="C37" s="60">
        <f>Proteção!C36</f>
        <v>0</v>
      </c>
      <c r="D37" s="60">
        <f>C37/'Div. ckts'!$D$17</f>
        <v>0</v>
      </c>
      <c r="E37" s="54">
        <v>1</v>
      </c>
      <c r="F37" s="54">
        <v>1</v>
      </c>
      <c r="G37" s="54">
        <v>1</v>
      </c>
      <c r="H37" s="54">
        <v>1</v>
      </c>
      <c r="I37" s="61">
        <f t="shared" si="1"/>
        <v>0</v>
      </c>
      <c r="J37" s="54"/>
      <c r="K37" s="54"/>
      <c r="L37" s="54"/>
      <c r="M37" s="54"/>
      <c r="N37" s="54"/>
      <c r="O37" s="54"/>
      <c r="P37" s="54"/>
      <c r="Q37" s="54"/>
      <c r="R37" s="55" t="e">
        <f>(200*O37*P37*D37)/(Q37*'Div. ckts'!$E$17)</f>
        <v>#DIV/0!</v>
      </c>
      <c r="S37" s="55" t="e">
        <f t="shared" si="2"/>
        <v>#DIV/0!</v>
      </c>
    </row>
    <row r="38" spans="2:19" x14ac:dyDescent="0.25">
      <c r="B38" s="53">
        <f>Proteção!B37</f>
        <v>0</v>
      </c>
      <c r="C38" s="60">
        <f>Proteção!C37</f>
        <v>0</v>
      </c>
      <c r="D38" s="60">
        <f>C38/'Div. ckts'!$D$17</f>
        <v>0</v>
      </c>
      <c r="E38" s="56">
        <v>1</v>
      </c>
      <c r="F38" s="56">
        <v>1</v>
      </c>
      <c r="G38" s="56">
        <v>1</v>
      </c>
      <c r="H38" s="56">
        <v>1</v>
      </c>
      <c r="I38" s="61">
        <f t="shared" si="1"/>
        <v>0</v>
      </c>
      <c r="J38" s="56"/>
      <c r="K38" s="56"/>
      <c r="L38" s="56"/>
      <c r="M38" s="56"/>
      <c r="N38" s="56"/>
      <c r="O38" s="56"/>
      <c r="P38" s="56"/>
      <c r="Q38" s="56"/>
      <c r="R38" s="55" t="e">
        <f>(200*O38*P38*D38)/(Q38*'Div. ckts'!$E$17)</f>
        <v>#DIV/0!</v>
      </c>
      <c r="S38" s="55" t="e">
        <f t="shared" si="2"/>
        <v>#DIV/0!</v>
      </c>
    </row>
    <row r="39" spans="2:19" x14ac:dyDescent="0.25">
      <c r="B39" s="53">
        <f>Proteção!B38</f>
        <v>0</v>
      </c>
      <c r="C39" s="60">
        <f>Proteção!C38</f>
        <v>0</v>
      </c>
      <c r="D39" s="60">
        <f>C39/'Div. ckts'!$D$17</f>
        <v>0</v>
      </c>
      <c r="E39" s="54">
        <v>1</v>
      </c>
      <c r="F39" s="54">
        <v>1</v>
      </c>
      <c r="G39" s="54">
        <v>1</v>
      </c>
      <c r="H39" s="54">
        <v>1</v>
      </c>
      <c r="I39" s="61">
        <f t="shared" si="1"/>
        <v>0</v>
      </c>
      <c r="J39" s="54"/>
      <c r="K39" s="54"/>
      <c r="L39" s="54"/>
      <c r="M39" s="54"/>
      <c r="N39" s="54"/>
      <c r="O39" s="54"/>
      <c r="P39" s="54"/>
      <c r="Q39" s="54"/>
      <c r="R39" s="55" t="e">
        <f>(200*O39*P39*D39)/(Q39*'Div. ckts'!$E$17)</f>
        <v>#DIV/0!</v>
      </c>
      <c r="S39" s="55" t="e">
        <f t="shared" si="2"/>
        <v>#DIV/0!</v>
      </c>
    </row>
    <row r="40" spans="2:19" x14ac:dyDescent="0.25">
      <c r="B40" s="53">
        <f>Proteção!B39</f>
        <v>0</v>
      </c>
      <c r="C40" s="60">
        <f>Proteção!C39</f>
        <v>0</v>
      </c>
      <c r="D40" s="60">
        <f>C40/'Div. ckts'!$D$17</f>
        <v>0</v>
      </c>
      <c r="E40" s="56">
        <v>1</v>
      </c>
      <c r="F40" s="56">
        <v>1</v>
      </c>
      <c r="G40" s="56">
        <v>1</v>
      </c>
      <c r="H40" s="56">
        <v>1</v>
      </c>
      <c r="I40" s="61">
        <f t="shared" si="1"/>
        <v>0</v>
      </c>
      <c r="J40" s="56"/>
      <c r="K40" s="56"/>
      <c r="L40" s="56"/>
      <c r="M40" s="56"/>
      <c r="N40" s="56"/>
      <c r="O40" s="56"/>
      <c r="P40" s="56"/>
      <c r="Q40" s="56"/>
      <c r="R40" s="55" t="e">
        <f>(200*O40*P40*D40)/(Q40*'Div. ckts'!$E$17)</f>
        <v>#DIV/0!</v>
      </c>
      <c r="S40" s="55" t="e">
        <f t="shared" si="2"/>
        <v>#DIV/0!</v>
      </c>
    </row>
    <row r="41" spans="2:19" x14ac:dyDescent="0.25">
      <c r="B41" s="53">
        <f>Proteção!B40</f>
        <v>0</v>
      </c>
      <c r="C41" s="60">
        <f>Proteção!C40</f>
        <v>0</v>
      </c>
      <c r="D41" s="60">
        <f>C41/'Div. ckts'!$D$17</f>
        <v>0</v>
      </c>
      <c r="E41" s="54">
        <v>1</v>
      </c>
      <c r="F41" s="54">
        <v>1</v>
      </c>
      <c r="G41" s="54">
        <v>1</v>
      </c>
      <c r="H41" s="54">
        <v>1</v>
      </c>
      <c r="I41" s="61">
        <f t="shared" si="1"/>
        <v>0</v>
      </c>
      <c r="J41" s="54"/>
      <c r="K41" s="54"/>
      <c r="L41" s="54"/>
      <c r="M41" s="54"/>
      <c r="N41" s="54"/>
      <c r="O41" s="54"/>
      <c r="P41" s="54"/>
      <c r="Q41" s="54"/>
      <c r="R41" s="55" t="e">
        <f>(200*O41*P41*D41)/(Q41*'Div. ckts'!$E$17)</f>
        <v>#DIV/0!</v>
      </c>
      <c r="S41" s="55" t="e">
        <f t="shared" si="2"/>
        <v>#DIV/0!</v>
      </c>
    </row>
    <row r="42" spans="2:19" x14ac:dyDescent="0.25">
      <c r="B42" s="53">
        <f>Proteção!B41</f>
        <v>0</v>
      </c>
      <c r="C42" s="60">
        <f>Proteção!C41</f>
        <v>0</v>
      </c>
      <c r="D42" s="60">
        <f>C42/'Div. ckts'!$D$17</f>
        <v>0</v>
      </c>
      <c r="E42" s="56">
        <v>1</v>
      </c>
      <c r="F42" s="56">
        <v>1</v>
      </c>
      <c r="G42" s="56">
        <v>1</v>
      </c>
      <c r="H42" s="56">
        <v>1</v>
      </c>
      <c r="I42" s="61">
        <f t="shared" si="1"/>
        <v>0</v>
      </c>
      <c r="J42" s="56"/>
      <c r="K42" s="56"/>
      <c r="L42" s="56"/>
      <c r="M42" s="56"/>
      <c r="N42" s="56"/>
      <c r="O42" s="56"/>
      <c r="P42" s="56"/>
      <c r="Q42" s="56"/>
      <c r="R42" s="55" t="e">
        <f>(200*O42*P42*D42)/(Q42*'Div. ckts'!$E$17)</f>
        <v>#DIV/0!</v>
      </c>
      <c r="S42" s="55" t="e">
        <f t="shared" si="2"/>
        <v>#DIV/0!</v>
      </c>
    </row>
    <row r="43" spans="2:19" x14ac:dyDescent="0.25">
      <c r="B43" s="53">
        <f>Proteção!B42</f>
        <v>0</v>
      </c>
      <c r="C43" s="60">
        <f>Proteção!C42</f>
        <v>0</v>
      </c>
      <c r="D43" s="60">
        <f>C43/'Div. ckts'!$D$17</f>
        <v>0</v>
      </c>
      <c r="E43" s="54">
        <v>1</v>
      </c>
      <c r="F43" s="54">
        <v>1</v>
      </c>
      <c r="G43" s="54">
        <v>1</v>
      </c>
      <c r="H43" s="54">
        <v>1</v>
      </c>
      <c r="I43" s="61">
        <f t="shared" si="1"/>
        <v>0</v>
      </c>
      <c r="J43" s="54"/>
      <c r="K43" s="54"/>
      <c r="L43" s="54"/>
      <c r="M43" s="54"/>
      <c r="N43" s="54"/>
      <c r="O43" s="54"/>
      <c r="P43" s="54"/>
      <c r="Q43" s="54"/>
      <c r="R43" s="55" t="e">
        <f>(200*O43*P43*D43)/(Q43*'Div. ckts'!$E$17)</f>
        <v>#DIV/0!</v>
      </c>
      <c r="S43" s="55" t="e">
        <f t="shared" si="2"/>
        <v>#DIV/0!</v>
      </c>
    </row>
    <row r="44" spans="2:19" x14ac:dyDescent="0.25">
      <c r="B44" s="53">
        <f>Proteção!B43</f>
        <v>0</v>
      </c>
      <c r="C44" s="60">
        <f>Proteção!C43</f>
        <v>0</v>
      </c>
      <c r="D44" s="60">
        <f>C44/'Div. ckts'!$D$17</f>
        <v>0</v>
      </c>
      <c r="E44" s="56">
        <v>1</v>
      </c>
      <c r="F44" s="56">
        <v>1</v>
      </c>
      <c r="G44" s="56">
        <v>1</v>
      </c>
      <c r="H44" s="56">
        <v>1</v>
      </c>
      <c r="I44" s="61">
        <f t="shared" si="1"/>
        <v>0</v>
      </c>
      <c r="J44" s="56"/>
      <c r="K44" s="56"/>
      <c r="L44" s="56"/>
      <c r="M44" s="56"/>
      <c r="N44" s="56"/>
      <c r="O44" s="56"/>
      <c r="P44" s="56"/>
      <c r="Q44" s="56"/>
      <c r="R44" s="55" t="e">
        <f>(200*O44*P44*D44)/(Q44*'Div. ckts'!$E$17)</f>
        <v>#DIV/0!</v>
      </c>
      <c r="S44" s="55" t="e">
        <f t="shared" si="2"/>
        <v>#DIV/0!</v>
      </c>
    </row>
    <row r="45" spans="2:19" x14ac:dyDescent="0.25">
      <c r="B45" s="53">
        <f>Proteção!B44</f>
        <v>0</v>
      </c>
      <c r="C45" s="60">
        <f>Proteção!C44</f>
        <v>0</v>
      </c>
      <c r="D45" s="60">
        <f>C45/'Div. ckts'!$D$17</f>
        <v>0</v>
      </c>
      <c r="E45" s="54">
        <v>1</v>
      </c>
      <c r="F45" s="54">
        <v>1</v>
      </c>
      <c r="G45" s="54">
        <v>1</v>
      </c>
      <c r="H45" s="54">
        <v>1</v>
      </c>
      <c r="I45" s="61">
        <f t="shared" si="1"/>
        <v>0</v>
      </c>
      <c r="J45" s="54"/>
      <c r="K45" s="54"/>
      <c r="L45" s="54"/>
      <c r="M45" s="54"/>
      <c r="N45" s="54"/>
      <c r="O45" s="54"/>
      <c r="P45" s="54"/>
      <c r="Q45" s="54"/>
      <c r="R45" s="55" t="e">
        <f>(200*O45*P45*D45)/(Q45*'Div. ckts'!$E$17)</f>
        <v>#DIV/0!</v>
      </c>
      <c r="S45" s="55" t="e">
        <f t="shared" si="2"/>
        <v>#DIV/0!</v>
      </c>
    </row>
    <row r="46" spans="2:19" x14ac:dyDescent="0.25">
      <c r="B46" s="53">
        <f>Proteção!B45</f>
        <v>0</v>
      </c>
      <c r="C46" s="60">
        <f>Proteção!C45</f>
        <v>0</v>
      </c>
      <c r="D46" s="60">
        <f>C46/'Div. ckts'!$D$17</f>
        <v>0</v>
      </c>
      <c r="E46" s="56">
        <v>1</v>
      </c>
      <c r="F46" s="56">
        <v>1</v>
      </c>
      <c r="G46" s="56">
        <v>1</v>
      </c>
      <c r="H46" s="56">
        <v>1</v>
      </c>
      <c r="I46" s="61">
        <f t="shared" si="1"/>
        <v>0</v>
      </c>
      <c r="J46" s="56"/>
      <c r="K46" s="56"/>
      <c r="L46" s="56"/>
      <c r="M46" s="56"/>
      <c r="N46" s="56"/>
      <c r="O46" s="56"/>
      <c r="P46" s="56"/>
      <c r="Q46" s="56"/>
      <c r="R46" s="55" t="e">
        <f>(200*O46*P46*D46)/(Q46*'Div. ckts'!$E$17)</f>
        <v>#DIV/0!</v>
      </c>
      <c r="S46" s="55" t="e">
        <f t="shared" si="2"/>
        <v>#DIV/0!</v>
      </c>
    </row>
    <row r="47" spans="2:19" x14ac:dyDescent="0.25">
      <c r="B47" s="53">
        <f>Proteção!B46</f>
        <v>0</v>
      </c>
      <c r="C47" s="60">
        <f>Proteção!C46</f>
        <v>0</v>
      </c>
      <c r="D47" s="60">
        <f>C47/'Div. ckts'!$D$17</f>
        <v>0</v>
      </c>
      <c r="E47" s="54">
        <v>1</v>
      </c>
      <c r="F47" s="54">
        <v>1</v>
      </c>
      <c r="G47" s="54">
        <v>1</v>
      </c>
      <c r="H47" s="54">
        <v>1</v>
      </c>
      <c r="I47" s="61">
        <f t="shared" si="1"/>
        <v>0</v>
      </c>
      <c r="J47" s="54"/>
      <c r="K47" s="54"/>
      <c r="L47" s="54"/>
      <c r="M47" s="54"/>
      <c r="N47" s="54"/>
      <c r="O47" s="54"/>
      <c r="P47" s="54"/>
      <c r="Q47" s="54"/>
      <c r="R47" s="55" t="e">
        <f>(200*O47*P47*D47)/(Q47*'Div. ckts'!$E$17)</f>
        <v>#DIV/0!</v>
      </c>
      <c r="S47" s="55" t="e">
        <f t="shared" si="2"/>
        <v>#DIV/0!</v>
      </c>
    </row>
    <row r="48" spans="2:19" x14ac:dyDescent="0.25">
      <c r="B48" s="53">
        <f>Proteção!B47</f>
        <v>0</v>
      </c>
      <c r="C48" s="60">
        <f>Proteção!C47</f>
        <v>0</v>
      </c>
      <c r="D48" s="60">
        <f>C48/'Div. ckts'!$D$17</f>
        <v>0</v>
      </c>
      <c r="E48" s="56">
        <v>1</v>
      </c>
      <c r="F48" s="56">
        <v>1</v>
      </c>
      <c r="G48" s="56">
        <v>1</v>
      </c>
      <c r="H48" s="56">
        <v>1</v>
      </c>
      <c r="I48" s="61">
        <f t="shared" si="1"/>
        <v>0</v>
      </c>
      <c r="J48" s="56"/>
      <c r="K48" s="56"/>
      <c r="L48" s="56"/>
      <c r="M48" s="56"/>
      <c r="N48" s="56"/>
      <c r="O48" s="56"/>
      <c r="P48" s="56"/>
      <c r="Q48" s="56"/>
      <c r="R48" s="55" t="e">
        <f>(200*O48*P48*D48)/(Q48*'Div. ckts'!$E$17)</f>
        <v>#DIV/0!</v>
      </c>
      <c r="S48" s="55" t="e">
        <f t="shared" si="2"/>
        <v>#DIV/0!</v>
      </c>
    </row>
    <row r="49" spans="2:19" x14ac:dyDescent="0.25">
      <c r="B49" s="53">
        <f>Proteção!B48</f>
        <v>0</v>
      </c>
      <c r="C49" s="60">
        <f>Proteção!C48</f>
        <v>0</v>
      </c>
      <c r="D49" s="60">
        <f>C49/'Div. ckts'!$D$17</f>
        <v>0</v>
      </c>
      <c r="E49" s="54">
        <v>1</v>
      </c>
      <c r="F49" s="54">
        <v>1</v>
      </c>
      <c r="G49" s="54">
        <v>1</v>
      </c>
      <c r="H49" s="54">
        <v>1</v>
      </c>
      <c r="I49" s="61">
        <f t="shared" si="1"/>
        <v>0</v>
      </c>
      <c r="J49" s="54"/>
      <c r="K49" s="54"/>
      <c r="L49" s="54"/>
      <c r="M49" s="54"/>
      <c r="N49" s="54"/>
      <c r="O49" s="54"/>
      <c r="P49" s="54"/>
      <c r="Q49" s="54"/>
      <c r="R49" s="55" t="e">
        <f>(200*O49*P49*D49)/(Q49*'Div. ckts'!$E$17)</f>
        <v>#DIV/0!</v>
      </c>
      <c r="S49" s="55" t="e">
        <f t="shared" si="2"/>
        <v>#DIV/0!</v>
      </c>
    </row>
    <row r="50" spans="2:19" x14ac:dyDescent="0.25">
      <c r="B50" s="53">
        <f>Proteção!B49</f>
        <v>0</v>
      </c>
      <c r="C50" s="60">
        <f>Proteção!C49</f>
        <v>0</v>
      </c>
      <c r="D50" s="60">
        <f>C50/'Div. ckts'!$D$17</f>
        <v>0</v>
      </c>
      <c r="E50" s="56">
        <v>1</v>
      </c>
      <c r="F50" s="56">
        <v>1</v>
      </c>
      <c r="G50" s="56">
        <v>1</v>
      </c>
      <c r="H50" s="56">
        <v>1</v>
      </c>
      <c r="I50" s="61">
        <f t="shared" si="1"/>
        <v>0</v>
      </c>
      <c r="J50" s="56"/>
      <c r="K50" s="56"/>
      <c r="L50" s="56"/>
      <c r="M50" s="56"/>
      <c r="N50" s="56"/>
      <c r="O50" s="56"/>
      <c r="P50" s="56"/>
      <c r="Q50" s="56"/>
      <c r="R50" s="55" t="e">
        <f>(200*O50*P50*D50)/(Q50*'Div. ckts'!$E$17)</f>
        <v>#DIV/0!</v>
      </c>
      <c r="S50" s="55" t="e">
        <f t="shared" si="2"/>
        <v>#DIV/0!</v>
      </c>
    </row>
    <row r="51" spans="2:19" x14ac:dyDescent="0.25">
      <c r="B51" s="53">
        <f>Proteção!B50</f>
        <v>0</v>
      </c>
      <c r="C51" s="60">
        <f>Proteção!C50</f>
        <v>0</v>
      </c>
      <c r="D51" s="60">
        <f>C51/'Div. ckts'!$D$17</f>
        <v>0</v>
      </c>
      <c r="E51" s="54">
        <v>1</v>
      </c>
      <c r="F51" s="54">
        <v>1</v>
      </c>
      <c r="G51" s="54">
        <v>1</v>
      </c>
      <c r="H51" s="54">
        <v>1</v>
      </c>
      <c r="I51" s="61">
        <f t="shared" si="1"/>
        <v>0</v>
      </c>
      <c r="J51" s="54"/>
      <c r="K51" s="54"/>
      <c r="L51" s="54"/>
      <c r="M51" s="54"/>
      <c r="N51" s="54"/>
      <c r="O51" s="54"/>
      <c r="P51" s="54"/>
      <c r="Q51" s="54"/>
      <c r="R51" s="55" t="e">
        <f>(200*O51*P51*D51)/(Q51*'Div. ckts'!$E$17)</f>
        <v>#DIV/0!</v>
      </c>
      <c r="S51" s="55" t="e">
        <f t="shared" si="2"/>
        <v>#DIV/0!</v>
      </c>
    </row>
    <row r="52" spans="2:19" x14ac:dyDescent="0.25">
      <c r="B52" s="53">
        <f>Proteção!B51</f>
        <v>0</v>
      </c>
      <c r="C52" s="60">
        <f>Proteção!C51</f>
        <v>0</v>
      </c>
      <c r="D52" s="60">
        <f>C52/'Div. ckts'!$D$17</f>
        <v>0</v>
      </c>
      <c r="E52" s="56">
        <v>1</v>
      </c>
      <c r="F52" s="56">
        <v>1</v>
      </c>
      <c r="G52" s="56">
        <v>1</v>
      </c>
      <c r="H52" s="56">
        <v>1</v>
      </c>
      <c r="I52" s="61">
        <f t="shared" si="1"/>
        <v>0</v>
      </c>
      <c r="J52" s="56"/>
      <c r="K52" s="56"/>
      <c r="L52" s="56"/>
      <c r="M52" s="56"/>
      <c r="N52" s="56"/>
      <c r="O52" s="56"/>
      <c r="P52" s="56"/>
      <c r="Q52" s="56"/>
      <c r="R52" s="55" t="e">
        <f>(200*O52*P52*D52)/(Q52*'Div. ckts'!$E$17)</f>
        <v>#DIV/0!</v>
      </c>
      <c r="S52" s="55" t="e">
        <f t="shared" si="2"/>
        <v>#DIV/0!</v>
      </c>
    </row>
    <row r="53" spans="2:19" x14ac:dyDescent="0.25">
      <c r="B53" s="53">
        <f>Proteção!B52</f>
        <v>0</v>
      </c>
      <c r="C53" s="60">
        <f>Proteção!C52</f>
        <v>0</v>
      </c>
      <c r="D53" s="60">
        <f>C53/'Div. ckts'!$D$17</f>
        <v>0</v>
      </c>
      <c r="E53" s="54">
        <v>1</v>
      </c>
      <c r="F53" s="54">
        <v>1</v>
      </c>
      <c r="G53" s="54">
        <v>1</v>
      </c>
      <c r="H53" s="54">
        <v>1</v>
      </c>
      <c r="I53" s="61">
        <f t="shared" si="1"/>
        <v>0</v>
      </c>
      <c r="J53" s="54"/>
      <c r="K53" s="54"/>
      <c r="L53" s="54"/>
      <c r="M53" s="54"/>
      <c r="N53" s="54"/>
      <c r="O53" s="54"/>
      <c r="P53" s="54"/>
      <c r="Q53" s="54"/>
      <c r="R53" s="55" t="e">
        <f>(200*O53*P53*D53)/(Q53*'Div. ckts'!$E$17)</f>
        <v>#DIV/0!</v>
      </c>
      <c r="S53" s="55" t="e">
        <f t="shared" si="2"/>
        <v>#DIV/0!</v>
      </c>
    </row>
    <row r="54" spans="2:19" x14ac:dyDescent="0.25">
      <c r="B54" s="53">
        <f>Proteção!B53</f>
        <v>0</v>
      </c>
      <c r="C54" s="60">
        <f>Proteção!C53</f>
        <v>0</v>
      </c>
      <c r="D54" s="60">
        <f>C54/'Div. ckts'!$D$17</f>
        <v>0</v>
      </c>
      <c r="E54" s="56">
        <v>1</v>
      </c>
      <c r="F54" s="56">
        <v>1</v>
      </c>
      <c r="G54" s="56">
        <v>1</v>
      </c>
      <c r="H54" s="56">
        <v>1</v>
      </c>
      <c r="I54" s="61">
        <f t="shared" si="1"/>
        <v>0</v>
      </c>
      <c r="J54" s="56"/>
      <c r="K54" s="56"/>
      <c r="L54" s="56"/>
      <c r="M54" s="56"/>
      <c r="N54" s="56"/>
      <c r="O54" s="56"/>
      <c r="P54" s="56"/>
      <c r="Q54" s="56"/>
      <c r="R54" s="55" t="e">
        <f>(200*O54*P54*D54)/(Q54*'Div. ckts'!$E$17)</f>
        <v>#DIV/0!</v>
      </c>
      <c r="S54" s="55" t="e">
        <f t="shared" si="2"/>
        <v>#DIV/0!</v>
      </c>
    </row>
    <row r="55" spans="2:19" x14ac:dyDescent="0.25">
      <c r="B55" s="53">
        <f>Proteção!B54</f>
        <v>0</v>
      </c>
      <c r="C55" s="60">
        <f>Proteção!C54</f>
        <v>0</v>
      </c>
      <c r="D55" s="60">
        <f>C55/'Div. ckts'!$D$17</f>
        <v>0</v>
      </c>
      <c r="E55" s="54">
        <v>1</v>
      </c>
      <c r="F55" s="54">
        <v>1</v>
      </c>
      <c r="G55" s="54">
        <v>1</v>
      </c>
      <c r="H55" s="54">
        <v>1</v>
      </c>
      <c r="I55" s="61">
        <f t="shared" si="1"/>
        <v>0</v>
      </c>
      <c r="J55" s="54"/>
      <c r="K55" s="54"/>
      <c r="L55" s="54"/>
      <c r="M55" s="54"/>
      <c r="N55" s="54"/>
      <c r="O55" s="54"/>
      <c r="P55" s="54"/>
      <c r="Q55" s="54"/>
      <c r="R55" s="55" t="e">
        <f>(200*O55*P55*D55)/(Q55*'Div. ckts'!$E$17)</f>
        <v>#DIV/0!</v>
      </c>
      <c r="S55" s="55" t="e">
        <f t="shared" si="2"/>
        <v>#DIV/0!</v>
      </c>
    </row>
    <row r="56" spans="2:19" x14ac:dyDescent="0.25">
      <c r="B56" s="53">
        <f>Proteção!B55</f>
        <v>0</v>
      </c>
      <c r="C56" s="60">
        <f>Proteção!C55</f>
        <v>0</v>
      </c>
      <c r="D56" s="60">
        <f>C56/'Div. ckts'!$D$17</f>
        <v>0</v>
      </c>
      <c r="E56" s="56">
        <v>1</v>
      </c>
      <c r="F56" s="56">
        <v>1</v>
      </c>
      <c r="G56" s="56">
        <v>1</v>
      </c>
      <c r="H56" s="56">
        <v>1</v>
      </c>
      <c r="I56" s="61">
        <f t="shared" si="1"/>
        <v>0</v>
      </c>
      <c r="J56" s="56"/>
      <c r="K56" s="56"/>
      <c r="L56" s="56"/>
      <c r="M56" s="56"/>
      <c r="N56" s="56"/>
      <c r="O56" s="56"/>
      <c r="P56" s="56"/>
      <c r="Q56" s="56"/>
      <c r="R56" s="55" t="e">
        <f>(200*O56*P56*D56)/(Q56*'Div. ckts'!$E$17)</f>
        <v>#DIV/0!</v>
      </c>
      <c r="S56" s="55" t="e">
        <f t="shared" si="2"/>
        <v>#DIV/0!</v>
      </c>
    </row>
    <row r="57" spans="2:19" x14ac:dyDescent="0.25">
      <c r="B57" s="53">
        <f>Proteção!B56</f>
        <v>0</v>
      </c>
      <c r="C57" s="60">
        <f>Proteção!C56</f>
        <v>0</v>
      </c>
      <c r="D57" s="60">
        <f>C57/'Div. ckts'!$D$17</f>
        <v>0</v>
      </c>
      <c r="E57" s="54">
        <v>1</v>
      </c>
      <c r="F57" s="54">
        <v>1</v>
      </c>
      <c r="G57" s="54">
        <v>1</v>
      </c>
      <c r="H57" s="54">
        <v>1</v>
      </c>
      <c r="I57" s="61">
        <f t="shared" si="1"/>
        <v>0</v>
      </c>
      <c r="J57" s="54"/>
      <c r="K57" s="54"/>
      <c r="L57" s="54"/>
      <c r="M57" s="54"/>
      <c r="N57" s="54"/>
      <c r="O57" s="54"/>
      <c r="P57" s="54"/>
      <c r="Q57" s="54"/>
      <c r="R57" s="55" t="e">
        <f>(200*O57*P57*D57)/(Q57*'Div. ckts'!$E$17)</f>
        <v>#DIV/0!</v>
      </c>
      <c r="S57" s="55" t="e">
        <f t="shared" si="2"/>
        <v>#DIV/0!</v>
      </c>
    </row>
    <row r="58" spans="2:19" x14ac:dyDescent="0.25">
      <c r="B58" s="53">
        <f>Proteção!B57</f>
        <v>0</v>
      </c>
      <c r="C58" s="60">
        <f>Proteção!C57</f>
        <v>0</v>
      </c>
      <c r="D58" s="60">
        <f>C58/'Div. ckts'!$D$17</f>
        <v>0</v>
      </c>
      <c r="E58" s="56">
        <v>1</v>
      </c>
      <c r="F58" s="56">
        <v>1</v>
      </c>
      <c r="G58" s="56">
        <v>1</v>
      </c>
      <c r="H58" s="56">
        <v>1</v>
      </c>
      <c r="I58" s="61">
        <f t="shared" si="1"/>
        <v>0</v>
      </c>
      <c r="J58" s="56"/>
      <c r="K58" s="56"/>
      <c r="L58" s="56"/>
      <c r="M58" s="56"/>
      <c r="N58" s="56"/>
      <c r="O58" s="56"/>
      <c r="P58" s="56"/>
      <c r="Q58" s="56"/>
      <c r="R58" s="55" t="e">
        <f>(200*O58*P58*D58)/(Q58*'Div. ckts'!$E$17)</f>
        <v>#DIV/0!</v>
      </c>
      <c r="S58" s="55" t="e">
        <f t="shared" si="2"/>
        <v>#DIV/0!</v>
      </c>
    </row>
    <row r="59" spans="2:19" x14ac:dyDescent="0.25">
      <c r="B59" s="53">
        <f>Proteção!B58</f>
        <v>0</v>
      </c>
      <c r="C59" s="60">
        <f>Proteção!C58</f>
        <v>0</v>
      </c>
      <c r="D59" s="60">
        <f>C59/'Div. ckts'!$D$17</f>
        <v>0</v>
      </c>
      <c r="E59" s="54">
        <v>1</v>
      </c>
      <c r="F59" s="54">
        <v>1</v>
      </c>
      <c r="G59" s="54">
        <v>1</v>
      </c>
      <c r="H59" s="54">
        <v>1</v>
      </c>
      <c r="I59" s="61">
        <f t="shared" si="1"/>
        <v>0</v>
      </c>
      <c r="J59" s="54"/>
      <c r="K59" s="54"/>
      <c r="L59" s="54"/>
      <c r="M59" s="54"/>
      <c r="N59" s="54"/>
      <c r="O59" s="54"/>
      <c r="P59" s="54"/>
      <c r="Q59" s="54"/>
      <c r="R59" s="55" t="e">
        <f>(200*O59*P59*D59)/(Q59*'Div. ckts'!$E$17)</f>
        <v>#DIV/0!</v>
      </c>
      <c r="S59" s="55" t="e">
        <f t="shared" si="2"/>
        <v>#DIV/0!</v>
      </c>
    </row>
    <row r="60" spans="2:19" x14ac:dyDescent="0.25">
      <c r="B60" s="53">
        <f>Proteção!B59</f>
        <v>0</v>
      </c>
      <c r="C60" s="60">
        <f>Proteção!C59</f>
        <v>0</v>
      </c>
      <c r="D60" s="60">
        <f>C60/'Div. ckts'!$D$17</f>
        <v>0</v>
      </c>
      <c r="E60" s="56">
        <v>1</v>
      </c>
      <c r="F60" s="56">
        <v>1</v>
      </c>
      <c r="G60" s="56">
        <v>1</v>
      </c>
      <c r="H60" s="56">
        <v>1</v>
      </c>
      <c r="I60" s="61">
        <f t="shared" si="1"/>
        <v>0</v>
      </c>
      <c r="J60" s="56"/>
      <c r="K60" s="56"/>
      <c r="L60" s="56"/>
      <c r="M60" s="56"/>
      <c r="N60" s="56"/>
      <c r="O60" s="56"/>
      <c r="P60" s="56"/>
      <c r="Q60" s="56"/>
      <c r="R60" s="55" t="e">
        <f>(200*O60*P60*D60)/(Q60*'Div. ckts'!$E$17)</f>
        <v>#DIV/0!</v>
      </c>
      <c r="S60" s="55" t="e">
        <f t="shared" si="2"/>
        <v>#DIV/0!</v>
      </c>
    </row>
    <row r="61" spans="2:19" x14ac:dyDescent="0.25">
      <c r="B61" s="53">
        <f>Proteção!B60</f>
        <v>0</v>
      </c>
      <c r="C61" s="60">
        <f>Proteção!C60</f>
        <v>0</v>
      </c>
      <c r="D61" s="60">
        <f>C61/'Div. ckts'!$D$17</f>
        <v>0</v>
      </c>
      <c r="E61" s="54">
        <v>1</v>
      </c>
      <c r="F61" s="54">
        <v>1</v>
      </c>
      <c r="G61" s="54">
        <v>1</v>
      </c>
      <c r="H61" s="54">
        <v>1</v>
      </c>
      <c r="I61" s="61">
        <f t="shared" si="1"/>
        <v>0</v>
      </c>
      <c r="J61" s="54"/>
      <c r="K61" s="54"/>
      <c r="L61" s="54"/>
      <c r="M61" s="54"/>
      <c r="N61" s="54"/>
      <c r="O61" s="54"/>
      <c r="P61" s="54"/>
      <c r="Q61" s="54"/>
      <c r="R61" s="55" t="e">
        <f>(200*O61*P61*D61)/(Q61*'Div. ckts'!$E$17)</f>
        <v>#DIV/0!</v>
      </c>
      <c r="S61" s="55" t="e">
        <f t="shared" si="2"/>
        <v>#DIV/0!</v>
      </c>
    </row>
    <row r="62" spans="2:19" x14ac:dyDescent="0.25">
      <c r="B62" s="53">
        <f>Proteção!B61</f>
        <v>0</v>
      </c>
      <c r="C62" s="60">
        <f>Proteção!C61</f>
        <v>0</v>
      </c>
      <c r="D62" s="60">
        <f>C62/'Div. ckts'!$D$17</f>
        <v>0</v>
      </c>
      <c r="E62" s="56">
        <v>1</v>
      </c>
      <c r="F62" s="56">
        <v>1</v>
      </c>
      <c r="G62" s="56">
        <v>1</v>
      </c>
      <c r="H62" s="56">
        <v>1</v>
      </c>
      <c r="I62" s="61">
        <f t="shared" si="1"/>
        <v>0</v>
      </c>
      <c r="J62" s="56"/>
      <c r="K62" s="56"/>
      <c r="L62" s="56"/>
      <c r="M62" s="56"/>
      <c r="N62" s="56"/>
      <c r="O62" s="56"/>
      <c r="P62" s="56"/>
      <c r="Q62" s="56"/>
      <c r="R62" s="55" t="e">
        <f>(200*O62*P62*D62)/(Q62*'Div. ckts'!$E$17)</f>
        <v>#DIV/0!</v>
      </c>
      <c r="S62" s="55" t="e">
        <f t="shared" si="2"/>
        <v>#DIV/0!</v>
      </c>
    </row>
    <row r="63" spans="2:19" x14ac:dyDescent="0.25">
      <c r="B63" s="53">
        <f>Proteção!B62</f>
        <v>0</v>
      </c>
      <c r="C63" s="60">
        <f>Proteção!C62</f>
        <v>0</v>
      </c>
      <c r="D63" s="60">
        <f>C63/'Div. ckts'!$D$17</f>
        <v>0</v>
      </c>
      <c r="E63" s="54">
        <v>1</v>
      </c>
      <c r="F63" s="54">
        <v>1</v>
      </c>
      <c r="G63" s="54">
        <v>1</v>
      </c>
      <c r="H63" s="54">
        <v>1</v>
      </c>
      <c r="I63" s="61">
        <f t="shared" si="1"/>
        <v>0</v>
      </c>
      <c r="J63" s="54"/>
      <c r="K63" s="54"/>
      <c r="L63" s="54"/>
      <c r="M63" s="54"/>
      <c r="N63" s="54"/>
      <c r="O63" s="54"/>
      <c r="P63" s="54"/>
      <c r="Q63" s="54"/>
      <c r="R63" s="55" t="e">
        <f>(200*O63*P63*D63)/(Q63*'Div. ckts'!$E$17)</f>
        <v>#DIV/0!</v>
      </c>
      <c r="S63" s="55" t="e">
        <f t="shared" si="2"/>
        <v>#DIV/0!</v>
      </c>
    </row>
    <row r="64" spans="2:19" x14ac:dyDescent="0.25">
      <c r="B64" s="53">
        <f>Proteção!B63</f>
        <v>0</v>
      </c>
      <c r="C64" s="60">
        <f>Proteção!C63</f>
        <v>0</v>
      </c>
      <c r="D64" s="60">
        <f>C64/'Div. ckts'!$D$17</f>
        <v>0</v>
      </c>
      <c r="E64" s="56">
        <v>1</v>
      </c>
      <c r="F64" s="56">
        <v>1</v>
      </c>
      <c r="G64" s="56">
        <v>1</v>
      </c>
      <c r="H64" s="56">
        <v>1</v>
      </c>
      <c r="I64" s="61">
        <f t="shared" si="1"/>
        <v>0</v>
      </c>
      <c r="J64" s="56"/>
      <c r="K64" s="56"/>
      <c r="L64" s="56"/>
      <c r="M64" s="56"/>
      <c r="N64" s="56"/>
      <c r="O64" s="56"/>
      <c r="P64" s="56"/>
      <c r="Q64" s="56"/>
      <c r="R64" s="55" t="e">
        <f>(200*O64*P64*D64)/(Q64*'Div. ckts'!$E$17)</f>
        <v>#DIV/0!</v>
      </c>
      <c r="S64" s="55" t="e">
        <f t="shared" si="2"/>
        <v>#DIV/0!</v>
      </c>
    </row>
    <row r="65" spans="2:19" x14ac:dyDescent="0.25">
      <c r="B65" s="53">
        <f>Proteção!B64</f>
        <v>0</v>
      </c>
      <c r="C65" s="60">
        <f>Proteção!C64</f>
        <v>0</v>
      </c>
      <c r="D65" s="60">
        <f>C65/'Div. ckts'!$D$17</f>
        <v>0</v>
      </c>
      <c r="E65" s="54">
        <v>1</v>
      </c>
      <c r="F65" s="54">
        <v>1</v>
      </c>
      <c r="G65" s="54">
        <v>1</v>
      </c>
      <c r="H65" s="54">
        <v>1</v>
      </c>
      <c r="I65" s="61">
        <f t="shared" si="1"/>
        <v>0</v>
      </c>
      <c r="J65" s="54"/>
      <c r="K65" s="54"/>
      <c r="L65" s="54"/>
      <c r="M65" s="54"/>
      <c r="N65" s="54"/>
      <c r="O65" s="54"/>
      <c r="P65" s="54"/>
      <c r="Q65" s="54"/>
      <c r="R65" s="55" t="e">
        <f>(200*O65*P65*D65)/(Q65*'Div. ckts'!$E$17)</f>
        <v>#DIV/0!</v>
      </c>
      <c r="S65" s="55" t="e">
        <f t="shared" si="2"/>
        <v>#DIV/0!</v>
      </c>
    </row>
    <row r="66" spans="2:19" x14ac:dyDescent="0.25">
      <c r="B66" s="53">
        <f>Proteção!B65</f>
        <v>0</v>
      </c>
      <c r="C66" s="60">
        <f>Proteção!C65</f>
        <v>0</v>
      </c>
      <c r="D66" s="60">
        <f>C66/'Div. ckts'!$D$17</f>
        <v>0</v>
      </c>
      <c r="E66" s="56">
        <v>1</v>
      </c>
      <c r="F66" s="56">
        <v>1</v>
      </c>
      <c r="G66" s="56">
        <v>1</v>
      </c>
      <c r="H66" s="56">
        <v>1</v>
      </c>
      <c r="I66" s="61">
        <f t="shared" si="1"/>
        <v>0</v>
      </c>
      <c r="J66" s="56"/>
      <c r="K66" s="56"/>
      <c r="L66" s="56"/>
      <c r="M66" s="56"/>
      <c r="N66" s="56"/>
      <c r="O66" s="56"/>
      <c r="P66" s="56"/>
      <c r="Q66" s="56"/>
      <c r="R66" s="55" t="e">
        <f>(200*O66*P66*D66)/(Q66*'Div. ckts'!$E$17)</f>
        <v>#DIV/0!</v>
      </c>
      <c r="S66" s="55" t="e">
        <f t="shared" si="2"/>
        <v>#DIV/0!</v>
      </c>
    </row>
    <row r="67" spans="2:19" x14ac:dyDescent="0.25">
      <c r="B67" s="53">
        <f>Proteção!B66</f>
        <v>0</v>
      </c>
      <c r="C67" s="60">
        <f>Proteção!C66</f>
        <v>0</v>
      </c>
      <c r="D67" s="60">
        <f>C67/'Div. ckts'!$D$17</f>
        <v>0</v>
      </c>
      <c r="E67" s="54">
        <v>1</v>
      </c>
      <c r="F67" s="54">
        <v>1</v>
      </c>
      <c r="G67" s="54">
        <v>1</v>
      </c>
      <c r="H67" s="54">
        <v>1</v>
      </c>
      <c r="I67" s="61">
        <f t="shared" si="1"/>
        <v>0</v>
      </c>
      <c r="J67" s="54"/>
      <c r="K67" s="54"/>
      <c r="L67" s="54"/>
      <c r="M67" s="54"/>
      <c r="N67" s="54"/>
      <c r="O67" s="54"/>
      <c r="P67" s="54"/>
      <c r="Q67" s="54"/>
      <c r="R67" s="55" t="e">
        <f>(200*O67*P67*D67)/(Q67*'Div. ckts'!$E$17)</f>
        <v>#DIV/0!</v>
      </c>
      <c r="S67" s="55" t="e">
        <f t="shared" si="2"/>
        <v>#DIV/0!</v>
      </c>
    </row>
    <row r="68" spans="2:19" x14ac:dyDescent="0.25">
      <c r="B68" s="53">
        <f>Proteção!B67</f>
        <v>0</v>
      </c>
      <c r="C68" s="60">
        <f>Proteção!C67</f>
        <v>0</v>
      </c>
      <c r="D68" s="60">
        <f>C68/'Div. ckts'!$D$17</f>
        <v>0</v>
      </c>
      <c r="E68" s="56">
        <v>1</v>
      </c>
      <c r="F68" s="56">
        <v>1</v>
      </c>
      <c r="G68" s="56">
        <v>1</v>
      </c>
      <c r="H68" s="56">
        <v>1</v>
      </c>
      <c r="I68" s="61">
        <f t="shared" si="1"/>
        <v>0</v>
      </c>
      <c r="J68" s="56"/>
      <c r="K68" s="56"/>
      <c r="L68" s="56"/>
      <c r="M68" s="56"/>
      <c r="N68" s="56"/>
      <c r="O68" s="56"/>
      <c r="P68" s="56"/>
      <c r="Q68" s="56"/>
      <c r="R68" s="55" t="e">
        <f>(200*O68*P68*D68)/(Q68*'Div. ckts'!$E$17)</f>
        <v>#DIV/0!</v>
      </c>
      <c r="S68" s="55" t="e">
        <f t="shared" ref="S68:S99" si="3">MAX(N68,R68)</f>
        <v>#DIV/0!</v>
      </c>
    </row>
    <row r="69" spans="2:19" x14ac:dyDescent="0.25">
      <c r="B69" s="53">
        <f>Proteção!B68</f>
        <v>0</v>
      </c>
      <c r="C69" s="60">
        <f>Proteção!C68</f>
        <v>0</v>
      </c>
      <c r="D69" s="60">
        <f>C69/'Div. ckts'!$D$17</f>
        <v>0</v>
      </c>
      <c r="E69" s="54">
        <v>1</v>
      </c>
      <c r="F69" s="54">
        <v>1</v>
      </c>
      <c r="G69" s="54">
        <v>1</v>
      </c>
      <c r="H69" s="54">
        <v>1</v>
      </c>
      <c r="I69" s="61">
        <f t="shared" si="1"/>
        <v>0</v>
      </c>
      <c r="J69" s="54"/>
      <c r="K69" s="54"/>
      <c r="L69" s="54"/>
      <c r="M69" s="54"/>
      <c r="N69" s="54"/>
      <c r="O69" s="54"/>
      <c r="P69" s="54"/>
      <c r="Q69" s="54"/>
      <c r="R69" s="55" t="e">
        <f>(200*O69*P69*D69)/(Q69*'Div. ckts'!$E$17)</f>
        <v>#DIV/0!</v>
      </c>
      <c r="S69" s="55" t="e">
        <f t="shared" si="3"/>
        <v>#DIV/0!</v>
      </c>
    </row>
    <row r="70" spans="2:19" x14ac:dyDescent="0.25">
      <c r="B70" s="53">
        <f>Proteção!B69</f>
        <v>0</v>
      </c>
      <c r="C70" s="60">
        <f>Proteção!C69</f>
        <v>0</v>
      </c>
      <c r="D70" s="60">
        <f>C70/'Div. ckts'!$D$17</f>
        <v>0</v>
      </c>
      <c r="E70" s="56">
        <v>1</v>
      </c>
      <c r="F70" s="56">
        <v>1</v>
      </c>
      <c r="G70" s="56">
        <v>1</v>
      </c>
      <c r="H70" s="56">
        <v>1</v>
      </c>
      <c r="I70" s="61">
        <f t="shared" ref="I70:I133" si="4">D70*E70/(F70*G70*H70)</f>
        <v>0</v>
      </c>
      <c r="J70" s="56"/>
      <c r="K70" s="56"/>
      <c r="L70" s="56"/>
      <c r="M70" s="56"/>
      <c r="N70" s="56"/>
      <c r="O70" s="56"/>
      <c r="P70" s="56"/>
      <c r="Q70" s="56"/>
      <c r="R70" s="55" t="e">
        <f>(200*O70*P70*D70)/(Q70*'Div. ckts'!$E$17)</f>
        <v>#DIV/0!</v>
      </c>
      <c r="S70" s="55" t="e">
        <f t="shared" si="3"/>
        <v>#DIV/0!</v>
      </c>
    </row>
    <row r="71" spans="2:19" x14ac:dyDescent="0.25">
      <c r="B71" s="53">
        <f>Proteção!B70</f>
        <v>0</v>
      </c>
      <c r="C71" s="60">
        <f>Proteção!C70</f>
        <v>0</v>
      </c>
      <c r="D71" s="60">
        <f>C71/'Div. ckts'!$D$17</f>
        <v>0</v>
      </c>
      <c r="E71" s="54">
        <v>1</v>
      </c>
      <c r="F71" s="54">
        <v>1</v>
      </c>
      <c r="G71" s="54">
        <v>1</v>
      </c>
      <c r="H71" s="54">
        <v>1</v>
      </c>
      <c r="I71" s="61">
        <f t="shared" si="4"/>
        <v>0</v>
      </c>
      <c r="J71" s="54"/>
      <c r="K71" s="54"/>
      <c r="L71" s="54"/>
      <c r="M71" s="54"/>
      <c r="N71" s="54"/>
      <c r="O71" s="54"/>
      <c r="P71" s="54"/>
      <c r="Q71" s="54"/>
      <c r="R71" s="55" t="e">
        <f>(200*O71*P71*D71)/(Q71*'Div. ckts'!$E$17)</f>
        <v>#DIV/0!</v>
      </c>
      <c r="S71" s="55" t="e">
        <f t="shared" si="3"/>
        <v>#DIV/0!</v>
      </c>
    </row>
    <row r="72" spans="2:19" x14ac:dyDescent="0.25">
      <c r="B72" s="53">
        <f>Proteção!B71</f>
        <v>0</v>
      </c>
      <c r="C72" s="60">
        <f>Proteção!C71</f>
        <v>0</v>
      </c>
      <c r="D72" s="60">
        <f>C72/'Div. ckts'!$D$17</f>
        <v>0</v>
      </c>
      <c r="E72" s="56">
        <v>1</v>
      </c>
      <c r="F72" s="56">
        <v>1</v>
      </c>
      <c r="G72" s="56">
        <v>1</v>
      </c>
      <c r="H72" s="56">
        <v>1</v>
      </c>
      <c r="I72" s="61">
        <f t="shared" si="4"/>
        <v>0</v>
      </c>
      <c r="J72" s="56"/>
      <c r="K72" s="56"/>
      <c r="L72" s="56"/>
      <c r="M72" s="56"/>
      <c r="N72" s="56"/>
      <c r="O72" s="56"/>
      <c r="P72" s="56"/>
      <c r="Q72" s="56"/>
      <c r="R72" s="55" t="e">
        <f>(200*O72*P72*D72)/(Q72*'Div. ckts'!$E$17)</f>
        <v>#DIV/0!</v>
      </c>
      <c r="S72" s="55" t="e">
        <f t="shared" si="3"/>
        <v>#DIV/0!</v>
      </c>
    </row>
    <row r="73" spans="2:19" x14ac:dyDescent="0.25">
      <c r="B73" s="53">
        <f>Proteção!B72</f>
        <v>0</v>
      </c>
      <c r="C73" s="60">
        <f>Proteção!C72</f>
        <v>0</v>
      </c>
      <c r="D73" s="60">
        <f>C73/'Div. ckts'!$D$17</f>
        <v>0</v>
      </c>
      <c r="E73" s="54">
        <v>1</v>
      </c>
      <c r="F73" s="54">
        <v>1</v>
      </c>
      <c r="G73" s="54">
        <v>1</v>
      </c>
      <c r="H73" s="54">
        <v>1</v>
      </c>
      <c r="I73" s="61">
        <f t="shared" si="4"/>
        <v>0</v>
      </c>
      <c r="J73" s="54"/>
      <c r="K73" s="54"/>
      <c r="L73" s="54"/>
      <c r="M73" s="54"/>
      <c r="N73" s="54"/>
      <c r="O73" s="54"/>
      <c r="P73" s="54"/>
      <c r="Q73" s="54"/>
      <c r="R73" s="55" t="e">
        <f>(200*O73*P73*D73)/(Q73*'Div. ckts'!$E$17)</f>
        <v>#DIV/0!</v>
      </c>
      <c r="S73" s="55" t="e">
        <f t="shared" si="3"/>
        <v>#DIV/0!</v>
      </c>
    </row>
    <row r="74" spans="2:19" x14ac:dyDescent="0.25">
      <c r="B74" s="53">
        <f>Proteção!B73</f>
        <v>0</v>
      </c>
      <c r="C74" s="60">
        <f>Proteção!C73</f>
        <v>0</v>
      </c>
      <c r="D74" s="60">
        <f>C74/'Div. ckts'!$D$17</f>
        <v>0</v>
      </c>
      <c r="E74" s="56">
        <v>1</v>
      </c>
      <c r="F74" s="56">
        <v>1</v>
      </c>
      <c r="G74" s="56">
        <v>1</v>
      </c>
      <c r="H74" s="56">
        <v>1</v>
      </c>
      <c r="I74" s="61">
        <f t="shared" si="4"/>
        <v>0</v>
      </c>
      <c r="J74" s="56"/>
      <c r="K74" s="56"/>
      <c r="L74" s="56"/>
      <c r="M74" s="56"/>
      <c r="N74" s="56"/>
      <c r="O74" s="56"/>
      <c r="P74" s="56"/>
      <c r="Q74" s="56"/>
      <c r="R74" s="55" t="e">
        <f>(200*O74*P74*D74)/(Q74*'Div. ckts'!$E$17)</f>
        <v>#DIV/0!</v>
      </c>
      <c r="S74" s="55" t="e">
        <f t="shared" si="3"/>
        <v>#DIV/0!</v>
      </c>
    </row>
    <row r="75" spans="2:19" x14ac:dyDescent="0.25">
      <c r="B75" s="53">
        <f>Proteção!B74</f>
        <v>0</v>
      </c>
      <c r="C75" s="60">
        <f>Proteção!C74</f>
        <v>0</v>
      </c>
      <c r="D75" s="60">
        <f>C75/'Div. ckts'!$D$17</f>
        <v>0</v>
      </c>
      <c r="E75" s="54">
        <v>1</v>
      </c>
      <c r="F75" s="54">
        <v>1</v>
      </c>
      <c r="G75" s="54">
        <v>1</v>
      </c>
      <c r="H75" s="54">
        <v>1</v>
      </c>
      <c r="I75" s="61">
        <f t="shared" si="4"/>
        <v>0</v>
      </c>
      <c r="J75" s="54"/>
      <c r="K75" s="54"/>
      <c r="L75" s="54"/>
      <c r="M75" s="54"/>
      <c r="N75" s="54"/>
      <c r="O75" s="54"/>
      <c r="P75" s="54"/>
      <c r="Q75" s="54"/>
      <c r="R75" s="55" t="e">
        <f>(200*O75*P75*D75)/(Q75*'Div. ckts'!$E$17)</f>
        <v>#DIV/0!</v>
      </c>
      <c r="S75" s="55" t="e">
        <f t="shared" si="3"/>
        <v>#DIV/0!</v>
      </c>
    </row>
    <row r="76" spans="2:19" x14ac:dyDescent="0.25">
      <c r="B76" s="53">
        <f>Proteção!B75</f>
        <v>0</v>
      </c>
      <c r="C76" s="60">
        <f>Proteção!C75</f>
        <v>0</v>
      </c>
      <c r="D76" s="60">
        <f>C76/'Div. ckts'!$D$17</f>
        <v>0</v>
      </c>
      <c r="E76" s="56">
        <v>1</v>
      </c>
      <c r="F76" s="56">
        <v>1</v>
      </c>
      <c r="G76" s="56">
        <v>1</v>
      </c>
      <c r="H76" s="56">
        <v>1</v>
      </c>
      <c r="I76" s="61">
        <f t="shared" si="4"/>
        <v>0</v>
      </c>
      <c r="J76" s="56"/>
      <c r="K76" s="56"/>
      <c r="L76" s="56"/>
      <c r="M76" s="56"/>
      <c r="N76" s="56"/>
      <c r="O76" s="56"/>
      <c r="P76" s="56"/>
      <c r="Q76" s="56"/>
      <c r="R76" s="55" t="e">
        <f>(200*O76*P76*D76)/(Q76*'Div. ckts'!$E$17)</f>
        <v>#DIV/0!</v>
      </c>
      <c r="S76" s="55" t="e">
        <f t="shared" si="3"/>
        <v>#DIV/0!</v>
      </c>
    </row>
    <row r="77" spans="2:19" x14ac:dyDescent="0.25">
      <c r="B77" s="53">
        <f>Proteção!B76</f>
        <v>0</v>
      </c>
      <c r="C77" s="60">
        <f>Proteção!C76</f>
        <v>0</v>
      </c>
      <c r="D77" s="60">
        <f>C77/'Div. ckts'!$D$17</f>
        <v>0</v>
      </c>
      <c r="E77" s="54">
        <v>1</v>
      </c>
      <c r="F77" s="54">
        <v>1</v>
      </c>
      <c r="G77" s="54">
        <v>1</v>
      </c>
      <c r="H77" s="54">
        <v>1</v>
      </c>
      <c r="I77" s="61">
        <f t="shared" si="4"/>
        <v>0</v>
      </c>
      <c r="J77" s="54"/>
      <c r="K77" s="54"/>
      <c r="L77" s="54"/>
      <c r="M77" s="54"/>
      <c r="N77" s="54"/>
      <c r="O77" s="54"/>
      <c r="P77" s="54"/>
      <c r="Q77" s="54"/>
      <c r="R77" s="55" t="e">
        <f>(200*O77*P77*D77)/(Q77*'Div. ckts'!$E$17)</f>
        <v>#DIV/0!</v>
      </c>
      <c r="S77" s="55" t="e">
        <f t="shared" si="3"/>
        <v>#DIV/0!</v>
      </c>
    </row>
    <row r="78" spans="2:19" x14ac:dyDescent="0.25">
      <c r="B78" s="53">
        <f>Proteção!B77</f>
        <v>0</v>
      </c>
      <c r="C78" s="60">
        <f>Proteção!C77</f>
        <v>0</v>
      </c>
      <c r="D78" s="60">
        <f>C78/'Div. ckts'!$D$17</f>
        <v>0</v>
      </c>
      <c r="E78" s="56">
        <v>1</v>
      </c>
      <c r="F78" s="56">
        <v>1</v>
      </c>
      <c r="G78" s="56">
        <v>1</v>
      </c>
      <c r="H78" s="56">
        <v>1</v>
      </c>
      <c r="I78" s="61">
        <f t="shared" si="4"/>
        <v>0</v>
      </c>
      <c r="J78" s="56"/>
      <c r="K78" s="56"/>
      <c r="L78" s="56"/>
      <c r="M78" s="56"/>
      <c r="N78" s="56"/>
      <c r="O78" s="56"/>
      <c r="P78" s="56"/>
      <c r="Q78" s="56"/>
      <c r="R78" s="55" t="e">
        <f>(200*O78*P78*D78)/(Q78*'Div. ckts'!$E$17)</f>
        <v>#DIV/0!</v>
      </c>
      <c r="S78" s="55" t="e">
        <f t="shared" si="3"/>
        <v>#DIV/0!</v>
      </c>
    </row>
    <row r="79" spans="2:19" x14ac:dyDescent="0.25">
      <c r="B79" s="53">
        <f>Proteção!B78</f>
        <v>0</v>
      </c>
      <c r="C79" s="60">
        <f>Proteção!C78</f>
        <v>0</v>
      </c>
      <c r="D79" s="60">
        <f>C79/'Div. ckts'!$D$17</f>
        <v>0</v>
      </c>
      <c r="E79" s="54">
        <v>1</v>
      </c>
      <c r="F79" s="54">
        <v>1</v>
      </c>
      <c r="G79" s="54">
        <v>1</v>
      </c>
      <c r="H79" s="54">
        <v>1</v>
      </c>
      <c r="I79" s="61">
        <f t="shared" si="4"/>
        <v>0</v>
      </c>
      <c r="J79" s="54"/>
      <c r="K79" s="54"/>
      <c r="L79" s="54"/>
      <c r="M79" s="54"/>
      <c r="N79" s="54"/>
      <c r="O79" s="54"/>
      <c r="P79" s="54"/>
      <c r="Q79" s="54"/>
      <c r="R79" s="55" t="e">
        <f>(200*O79*P79*D79)/(Q79*'Div. ckts'!$E$17)</f>
        <v>#DIV/0!</v>
      </c>
      <c r="S79" s="55" t="e">
        <f t="shared" si="3"/>
        <v>#DIV/0!</v>
      </c>
    </row>
    <row r="80" spans="2:19" x14ac:dyDescent="0.25">
      <c r="B80" s="53">
        <f>Proteção!B79</f>
        <v>0</v>
      </c>
      <c r="C80" s="60">
        <f>Proteção!C79</f>
        <v>0</v>
      </c>
      <c r="D80" s="60">
        <f>C80/'Div. ckts'!$D$17</f>
        <v>0</v>
      </c>
      <c r="E80" s="56">
        <v>1</v>
      </c>
      <c r="F80" s="56">
        <v>1</v>
      </c>
      <c r="G80" s="56">
        <v>1</v>
      </c>
      <c r="H80" s="56">
        <v>1</v>
      </c>
      <c r="I80" s="61">
        <f t="shared" si="4"/>
        <v>0</v>
      </c>
      <c r="J80" s="56"/>
      <c r="K80" s="56"/>
      <c r="L80" s="56"/>
      <c r="M80" s="56"/>
      <c r="N80" s="56"/>
      <c r="O80" s="56"/>
      <c r="P80" s="56"/>
      <c r="Q80" s="56"/>
      <c r="R80" s="55" t="e">
        <f>(200*O80*P80*D80)/(Q80*'Div. ckts'!$E$17)</f>
        <v>#DIV/0!</v>
      </c>
      <c r="S80" s="55" t="e">
        <f t="shared" si="3"/>
        <v>#DIV/0!</v>
      </c>
    </row>
    <row r="81" spans="2:19" x14ac:dyDescent="0.25">
      <c r="B81" s="53">
        <f>Proteção!B80</f>
        <v>0</v>
      </c>
      <c r="C81" s="60">
        <f>Proteção!C80</f>
        <v>0</v>
      </c>
      <c r="D81" s="60">
        <f>C81/'Div. ckts'!$D$17</f>
        <v>0</v>
      </c>
      <c r="E81" s="54">
        <v>1</v>
      </c>
      <c r="F81" s="54">
        <v>1</v>
      </c>
      <c r="G81" s="54">
        <v>1</v>
      </c>
      <c r="H81" s="54">
        <v>1</v>
      </c>
      <c r="I81" s="61">
        <f t="shared" si="4"/>
        <v>0</v>
      </c>
      <c r="J81" s="54"/>
      <c r="K81" s="54"/>
      <c r="L81" s="54"/>
      <c r="M81" s="54"/>
      <c r="N81" s="54"/>
      <c r="O81" s="54"/>
      <c r="P81" s="54"/>
      <c r="Q81" s="54"/>
      <c r="R81" s="55" t="e">
        <f>(200*O81*P81*D81)/(Q81*'Div. ckts'!$E$17)</f>
        <v>#DIV/0!</v>
      </c>
      <c r="S81" s="55" t="e">
        <f t="shared" si="3"/>
        <v>#DIV/0!</v>
      </c>
    </row>
    <row r="82" spans="2:19" x14ac:dyDescent="0.25">
      <c r="B82" s="53">
        <f>Proteção!B81</f>
        <v>0</v>
      </c>
      <c r="C82" s="60">
        <f>Proteção!C81</f>
        <v>0</v>
      </c>
      <c r="D82" s="60">
        <f>C82/'Div. ckts'!$D$17</f>
        <v>0</v>
      </c>
      <c r="E82" s="56">
        <v>1</v>
      </c>
      <c r="F82" s="56">
        <v>1</v>
      </c>
      <c r="G82" s="56">
        <v>1</v>
      </c>
      <c r="H82" s="56">
        <v>1</v>
      </c>
      <c r="I82" s="61">
        <f t="shared" si="4"/>
        <v>0</v>
      </c>
      <c r="J82" s="56"/>
      <c r="K82" s="56"/>
      <c r="L82" s="56"/>
      <c r="M82" s="56"/>
      <c r="N82" s="56"/>
      <c r="O82" s="56"/>
      <c r="P82" s="56"/>
      <c r="Q82" s="56"/>
      <c r="R82" s="55" t="e">
        <f>(200*O82*P82*D82)/(Q82*'Div. ckts'!$E$17)</f>
        <v>#DIV/0!</v>
      </c>
      <c r="S82" s="55" t="e">
        <f t="shared" si="3"/>
        <v>#DIV/0!</v>
      </c>
    </row>
    <row r="83" spans="2:19" x14ac:dyDescent="0.25">
      <c r="B83" s="53">
        <f>Proteção!B82</f>
        <v>0</v>
      </c>
      <c r="C83" s="60">
        <f>Proteção!C82</f>
        <v>0</v>
      </c>
      <c r="D83" s="60">
        <f>C83/'Div. ckts'!$D$17</f>
        <v>0</v>
      </c>
      <c r="E83" s="54">
        <v>1</v>
      </c>
      <c r="F83" s="54">
        <v>1</v>
      </c>
      <c r="G83" s="54">
        <v>1</v>
      </c>
      <c r="H83" s="54">
        <v>1</v>
      </c>
      <c r="I83" s="61">
        <f t="shared" si="4"/>
        <v>0</v>
      </c>
      <c r="J83" s="54"/>
      <c r="K83" s="54"/>
      <c r="L83" s="54"/>
      <c r="M83" s="54"/>
      <c r="N83" s="54"/>
      <c r="O83" s="54"/>
      <c r="P83" s="54"/>
      <c r="Q83" s="54"/>
      <c r="R83" s="55" t="e">
        <f>(200*O83*P83*D83)/(Q83*'Div. ckts'!$E$17)</f>
        <v>#DIV/0!</v>
      </c>
      <c r="S83" s="55" t="e">
        <f t="shared" si="3"/>
        <v>#DIV/0!</v>
      </c>
    </row>
    <row r="84" spans="2:19" x14ac:dyDescent="0.25">
      <c r="B84" s="53">
        <f>Proteção!B83</f>
        <v>0</v>
      </c>
      <c r="C84" s="60">
        <f>Proteção!C83</f>
        <v>0</v>
      </c>
      <c r="D84" s="60">
        <f>C84/'Div. ckts'!$D$17</f>
        <v>0</v>
      </c>
      <c r="E84" s="56">
        <v>1</v>
      </c>
      <c r="F84" s="56">
        <v>1</v>
      </c>
      <c r="G84" s="56">
        <v>1</v>
      </c>
      <c r="H84" s="56">
        <v>1</v>
      </c>
      <c r="I84" s="61">
        <f t="shared" si="4"/>
        <v>0</v>
      </c>
      <c r="J84" s="56"/>
      <c r="K84" s="56"/>
      <c r="L84" s="56"/>
      <c r="M84" s="56"/>
      <c r="N84" s="56"/>
      <c r="O84" s="56"/>
      <c r="P84" s="56"/>
      <c r="Q84" s="56"/>
      <c r="R84" s="55" t="e">
        <f>(200*O84*P84*D84)/(Q84*'Div. ckts'!$E$17)</f>
        <v>#DIV/0!</v>
      </c>
      <c r="S84" s="55" t="e">
        <f t="shared" si="3"/>
        <v>#DIV/0!</v>
      </c>
    </row>
    <row r="85" spans="2:19" x14ac:dyDescent="0.25">
      <c r="B85" s="53">
        <f>Proteção!B84</f>
        <v>0</v>
      </c>
      <c r="C85" s="60">
        <f>Proteção!C84</f>
        <v>0</v>
      </c>
      <c r="D85" s="60">
        <f>C85/'Div. ckts'!$D$17</f>
        <v>0</v>
      </c>
      <c r="E85" s="54">
        <v>1</v>
      </c>
      <c r="F85" s="54">
        <v>1</v>
      </c>
      <c r="G85" s="54">
        <v>1</v>
      </c>
      <c r="H85" s="54">
        <v>1</v>
      </c>
      <c r="I85" s="61">
        <f t="shared" si="4"/>
        <v>0</v>
      </c>
      <c r="J85" s="54"/>
      <c r="K85" s="54"/>
      <c r="L85" s="54"/>
      <c r="M85" s="54"/>
      <c r="N85" s="54"/>
      <c r="O85" s="54"/>
      <c r="P85" s="54"/>
      <c r="Q85" s="54"/>
      <c r="R85" s="55" t="e">
        <f>(200*O85*P85*D85)/(Q85*'Div. ckts'!$E$17)</f>
        <v>#DIV/0!</v>
      </c>
      <c r="S85" s="55" t="e">
        <f t="shared" si="3"/>
        <v>#DIV/0!</v>
      </c>
    </row>
    <row r="86" spans="2:19" x14ac:dyDescent="0.25">
      <c r="B86" s="53">
        <f>Proteção!B85</f>
        <v>0</v>
      </c>
      <c r="C86" s="60">
        <f>Proteção!C85</f>
        <v>0</v>
      </c>
      <c r="D86" s="60">
        <f>C86/'Div. ckts'!$D$17</f>
        <v>0</v>
      </c>
      <c r="E86" s="56">
        <v>1</v>
      </c>
      <c r="F86" s="56">
        <v>1</v>
      </c>
      <c r="G86" s="56">
        <v>1</v>
      </c>
      <c r="H86" s="56">
        <v>1</v>
      </c>
      <c r="I86" s="61">
        <f t="shared" si="4"/>
        <v>0</v>
      </c>
      <c r="J86" s="56"/>
      <c r="K86" s="56"/>
      <c r="L86" s="56"/>
      <c r="M86" s="56"/>
      <c r="N86" s="56"/>
      <c r="O86" s="56"/>
      <c r="P86" s="56"/>
      <c r="Q86" s="56"/>
      <c r="R86" s="55" t="e">
        <f>(200*O86*P86*D86)/(Q86*'Div. ckts'!$E$17)</f>
        <v>#DIV/0!</v>
      </c>
      <c r="S86" s="55" t="e">
        <f t="shared" si="3"/>
        <v>#DIV/0!</v>
      </c>
    </row>
    <row r="87" spans="2:19" x14ac:dyDescent="0.25">
      <c r="B87" s="53">
        <f>Proteção!B86</f>
        <v>0</v>
      </c>
      <c r="C87" s="60">
        <f>Proteção!C86</f>
        <v>0</v>
      </c>
      <c r="D87" s="60">
        <f>C87/'Div. ckts'!$D$17</f>
        <v>0</v>
      </c>
      <c r="E87" s="54">
        <v>1</v>
      </c>
      <c r="F87" s="54">
        <v>1</v>
      </c>
      <c r="G87" s="54">
        <v>1</v>
      </c>
      <c r="H87" s="54">
        <v>1</v>
      </c>
      <c r="I87" s="61">
        <f t="shared" si="4"/>
        <v>0</v>
      </c>
      <c r="J87" s="54"/>
      <c r="K87" s="54"/>
      <c r="L87" s="54"/>
      <c r="M87" s="54"/>
      <c r="N87" s="54"/>
      <c r="O87" s="54"/>
      <c r="P87" s="54"/>
      <c r="Q87" s="54"/>
      <c r="R87" s="55" t="e">
        <f>(200*O87*P87*D87)/(Q87*'Div. ckts'!$E$17)</f>
        <v>#DIV/0!</v>
      </c>
      <c r="S87" s="55" t="e">
        <f t="shared" si="3"/>
        <v>#DIV/0!</v>
      </c>
    </row>
    <row r="88" spans="2:19" x14ac:dyDescent="0.25">
      <c r="B88" s="53">
        <f>Proteção!B87</f>
        <v>0</v>
      </c>
      <c r="C88" s="60">
        <f>Proteção!C87</f>
        <v>0</v>
      </c>
      <c r="D88" s="60">
        <f>C88/'Div. ckts'!$D$17</f>
        <v>0</v>
      </c>
      <c r="E88" s="56">
        <v>1</v>
      </c>
      <c r="F88" s="56">
        <v>1</v>
      </c>
      <c r="G88" s="56">
        <v>1</v>
      </c>
      <c r="H88" s="56">
        <v>1</v>
      </c>
      <c r="I88" s="61">
        <f t="shared" si="4"/>
        <v>0</v>
      </c>
      <c r="J88" s="56"/>
      <c r="K88" s="56"/>
      <c r="L88" s="56"/>
      <c r="M88" s="56"/>
      <c r="N88" s="56"/>
      <c r="O88" s="56"/>
      <c r="P88" s="56"/>
      <c r="Q88" s="56"/>
      <c r="R88" s="55" t="e">
        <f>(200*O88*P88*D88)/(Q88*'Div. ckts'!$E$17)</f>
        <v>#DIV/0!</v>
      </c>
      <c r="S88" s="55" t="e">
        <f t="shared" si="3"/>
        <v>#DIV/0!</v>
      </c>
    </row>
    <row r="89" spans="2:19" x14ac:dyDescent="0.25">
      <c r="B89" s="53">
        <f>Proteção!B88</f>
        <v>0</v>
      </c>
      <c r="C89" s="60">
        <f>Proteção!C88</f>
        <v>0</v>
      </c>
      <c r="D89" s="60">
        <f>C89/'Div. ckts'!$D$17</f>
        <v>0</v>
      </c>
      <c r="E89" s="54">
        <v>1</v>
      </c>
      <c r="F89" s="54">
        <v>1</v>
      </c>
      <c r="G89" s="54">
        <v>1</v>
      </c>
      <c r="H89" s="54">
        <v>1</v>
      </c>
      <c r="I89" s="61">
        <f t="shared" si="4"/>
        <v>0</v>
      </c>
      <c r="J89" s="54"/>
      <c r="K89" s="54"/>
      <c r="L89" s="54"/>
      <c r="M89" s="54"/>
      <c r="N89" s="54"/>
      <c r="O89" s="54"/>
      <c r="P89" s="54"/>
      <c r="Q89" s="54"/>
      <c r="R89" s="55" t="e">
        <f>(200*O89*P89*D89)/(Q89*'Div. ckts'!$E$17)</f>
        <v>#DIV/0!</v>
      </c>
      <c r="S89" s="55" t="e">
        <f t="shared" si="3"/>
        <v>#DIV/0!</v>
      </c>
    </row>
    <row r="90" spans="2:19" x14ac:dyDescent="0.25">
      <c r="B90" s="53">
        <f>Proteção!B89</f>
        <v>0</v>
      </c>
      <c r="C90" s="60">
        <f>Proteção!C89</f>
        <v>0</v>
      </c>
      <c r="D90" s="60">
        <f>C90/'Div. ckts'!$D$17</f>
        <v>0</v>
      </c>
      <c r="E90" s="56">
        <v>1</v>
      </c>
      <c r="F90" s="56">
        <v>1</v>
      </c>
      <c r="G90" s="56">
        <v>1</v>
      </c>
      <c r="H90" s="56">
        <v>1</v>
      </c>
      <c r="I90" s="61">
        <f t="shared" si="4"/>
        <v>0</v>
      </c>
      <c r="J90" s="56"/>
      <c r="K90" s="56"/>
      <c r="L90" s="56"/>
      <c r="M90" s="56"/>
      <c r="N90" s="56"/>
      <c r="O90" s="56"/>
      <c r="P90" s="56"/>
      <c r="Q90" s="56"/>
      <c r="R90" s="55" t="e">
        <f>(200*O90*P90*D90)/(Q90*'Div. ckts'!$E$17)</f>
        <v>#DIV/0!</v>
      </c>
      <c r="S90" s="55" t="e">
        <f t="shared" si="3"/>
        <v>#DIV/0!</v>
      </c>
    </row>
    <row r="91" spans="2:19" x14ac:dyDescent="0.25">
      <c r="B91" s="53">
        <f>Proteção!B90</f>
        <v>0</v>
      </c>
      <c r="C91" s="60">
        <f>Proteção!C90</f>
        <v>0</v>
      </c>
      <c r="D91" s="60">
        <f>C91/'Div. ckts'!$D$17</f>
        <v>0</v>
      </c>
      <c r="E91" s="54">
        <v>1</v>
      </c>
      <c r="F91" s="54">
        <v>1</v>
      </c>
      <c r="G91" s="54">
        <v>1</v>
      </c>
      <c r="H91" s="54">
        <v>1</v>
      </c>
      <c r="I91" s="61">
        <f t="shared" si="4"/>
        <v>0</v>
      </c>
      <c r="J91" s="54"/>
      <c r="K91" s="54"/>
      <c r="L91" s="54"/>
      <c r="M91" s="54"/>
      <c r="N91" s="54"/>
      <c r="O91" s="54"/>
      <c r="P91" s="54"/>
      <c r="Q91" s="54"/>
      <c r="R91" s="55" t="e">
        <f>(200*O91*P91*D91)/(Q91*'Div. ckts'!$E$17)</f>
        <v>#DIV/0!</v>
      </c>
      <c r="S91" s="55" t="e">
        <f t="shared" si="3"/>
        <v>#DIV/0!</v>
      </c>
    </row>
    <row r="92" spans="2:19" x14ac:dyDescent="0.25">
      <c r="B92" s="53">
        <f>Proteção!B91</f>
        <v>0</v>
      </c>
      <c r="C92" s="60">
        <f>Proteção!C91</f>
        <v>0</v>
      </c>
      <c r="D92" s="60">
        <f>C92/'Div. ckts'!$D$17</f>
        <v>0</v>
      </c>
      <c r="E92" s="56">
        <v>1</v>
      </c>
      <c r="F92" s="56">
        <v>1</v>
      </c>
      <c r="G92" s="56">
        <v>1</v>
      </c>
      <c r="H92" s="56">
        <v>1</v>
      </c>
      <c r="I92" s="61">
        <f t="shared" si="4"/>
        <v>0</v>
      </c>
      <c r="J92" s="56"/>
      <c r="K92" s="56"/>
      <c r="L92" s="56"/>
      <c r="M92" s="56"/>
      <c r="N92" s="56"/>
      <c r="O92" s="56"/>
      <c r="P92" s="56"/>
      <c r="Q92" s="56"/>
      <c r="R92" s="55" t="e">
        <f>(200*O92*P92*D92)/(Q92*'Div. ckts'!$E$17)</f>
        <v>#DIV/0!</v>
      </c>
      <c r="S92" s="55" t="e">
        <f t="shared" si="3"/>
        <v>#DIV/0!</v>
      </c>
    </row>
    <row r="93" spans="2:19" x14ac:dyDescent="0.25">
      <c r="B93" s="53">
        <f>Proteção!B92</f>
        <v>0</v>
      </c>
      <c r="C93" s="60">
        <f>Proteção!C92</f>
        <v>0</v>
      </c>
      <c r="D93" s="60">
        <f>C93/'Div. ckts'!$D$17</f>
        <v>0</v>
      </c>
      <c r="E93" s="54">
        <v>1</v>
      </c>
      <c r="F93" s="54">
        <v>1</v>
      </c>
      <c r="G93" s="54">
        <v>1</v>
      </c>
      <c r="H93" s="54">
        <v>1</v>
      </c>
      <c r="I93" s="61">
        <f t="shared" si="4"/>
        <v>0</v>
      </c>
      <c r="J93" s="54"/>
      <c r="K93" s="54"/>
      <c r="L93" s="54"/>
      <c r="M93" s="54"/>
      <c r="N93" s="54"/>
      <c r="O93" s="54"/>
      <c r="P93" s="54"/>
      <c r="Q93" s="54"/>
      <c r="R93" s="55" t="e">
        <f>(200*O93*P93*D93)/(Q93*'Div. ckts'!$E$17)</f>
        <v>#DIV/0!</v>
      </c>
      <c r="S93" s="55" t="e">
        <f t="shared" si="3"/>
        <v>#DIV/0!</v>
      </c>
    </row>
    <row r="94" spans="2:19" x14ac:dyDescent="0.25">
      <c r="B94" s="53">
        <f>Proteção!B93</f>
        <v>0</v>
      </c>
      <c r="C94" s="60">
        <f>Proteção!C93</f>
        <v>0</v>
      </c>
      <c r="D94" s="60">
        <f>C94/'Div. ckts'!$D$17</f>
        <v>0</v>
      </c>
      <c r="E94" s="56">
        <v>1</v>
      </c>
      <c r="F94" s="56">
        <v>1</v>
      </c>
      <c r="G94" s="56">
        <v>1</v>
      </c>
      <c r="H94" s="56">
        <v>1</v>
      </c>
      <c r="I94" s="61">
        <f t="shared" si="4"/>
        <v>0</v>
      </c>
      <c r="J94" s="56"/>
      <c r="K94" s="56"/>
      <c r="L94" s="56"/>
      <c r="M94" s="56"/>
      <c r="N94" s="56"/>
      <c r="O94" s="56"/>
      <c r="P94" s="56"/>
      <c r="Q94" s="56"/>
      <c r="R94" s="55" t="e">
        <f>(200*O94*P94*D94)/(Q94*'Div. ckts'!$E$17)</f>
        <v>#DIV/0!</v>
      </c>
      <c r="S94" s="55" t="e">
        <f t="shared" si="3"/>
        <v>#DIV/0!</v>
      </c>
    </row>
    <row r="95" spans="2:19" x14ac:dyDescent="0.25">
      <c r="B95" s="53">
        <f>Proteção!B94</f>
        <v>0</v>
      </c>
      <c r="C95" s="60">
        <f>Proteção!C94</f>
        <v>0</v>
      </c>
      <c r="D95" s="60">
        <f>C95/'Div. ckts'!$D$17</f>
        <v>0</v>
      </c>
      <c r="E95" s="54">
        <v>1</v>
      </c>
      <c r="F95" s="54">
        <v>1</v>
      </c>
      <c r="G95" s="54">
        <v>1</v>
      </c>
      <c r="H95" s="54">
        <v>1</v>
      </c>
      <c r="I95" s="61">
        <f t="shared" si="4"/>
        <v>0</v>
      </c>
      <c r="J95" s="54"/>
      <c r="K95" s="54"/>
      <c r="L95" s="54"/>
      <c r="M95" s="54"/>
      <c r="N95" s="54"/>
      <c r="O95" s="54"/>
      <c r="P95" s="54"/>
      <c r="Q95" s="54"/>
      <c r="R95" s="55" t="e">
        <f>(200*O95*P95*D95)/(Q95*'Div. ckts'!$E$17)</f>
        <v>#DIV/0!</v>
      </c>
      <c r="S95" s="55" t="e">
        <f t="shared" si="3"/>
        <v>#DIV/0!</v>
      </c>
    </row>
    <row r="96" spans="2:19" x14ac:dyDescent="0.25">
      <c r="B96" s="53">
        <f>Proteção!B95</f>
        <v>0</v>
      </c>
      <c r="C96" s="60">
        <f>Proteção!C95</f>
        <v>0</v>
      </c>
      <c r="D96" s="60">
        <f>C96/'Div. ckts'!$D$17</f>
        <v>0</v>
      </c>
      <c r="E96" s="56">
        <v>1</v>
      </c>
      <c r="F96" s="56">
        <v>1</v>
      </c>
      <c r="G96" s="56">
        <v>1</v>
      </c>
      <c r="H96" s="56">
        <v>1</v>
      </c>
      <c r="I96" s="61">
        <f t="shared" si="4"/>
        <v>0</v>
      </c>
      <c r="J96" s="56"/>
      <c r="K96" s="56"/>
      <c r="L96" s="56"/>
      <c r="M96" s="56"/>
      <c r="N96" s="56"/>
      <c r="O96" s="56"/>
      <c r="P96" s="56"/>
      <c r="Q96" s="56"/>
      <c r="R96" s="55" t="e">
        <f>(200*O96*P96*D96)/(Q96*'Div. ckts'!$E$17)</f>
        <v>#DIV/0!</v>
      </c>
      <c r="S96" s="55" t="e">
        <f t="shared" si="3"/>
        <v>#DIV/0!</v>
      </c>
    </row>
    <row r="97" spans="2:19" x14ac:dyDescent="0.25">
      <c r="B97" s="53">
        <f>Proteção!B96</f>
        <v>0</v>
      </c>
      <c r="C97" s="60">
        <f>Proteção!C96</f>
        <v>0</v>
      </c>
      <c r="D97" s="60">
        <f>C97/'Div. ckts'!$D$17</f>
        <v>0</v>
      </c>
      <c r="E97" s="54">
        <v>1</v>
      </c>
      <c r="F97" s="54">
        <v>1</v>
      </c>
      <c r="G97" s="54">
        <v>1</v>
      </c>
      <c r="H97" s="54">
        <v>1</v>
      </c>
      <c r="I97" s="61">
        <f t="shared" si="4"/>
        <v>0</v>
      </c>
      <c r="J97" s="54"/>
      <c r="K97" s="54"/>
      <c r="L97" s="54"/>
      <c r="M97" s="54"/>
      <c r="N97" s="54"/>
      <c r="O97" s="54"/>
      <c r="P97" s="54"/>
      <c r="Q97" s="54"/>
      <c r="R97" s="55" t="e">
        <f>(200*O97*P97*D97)/(Q97*'Div. ckts'!$E$17)</f>
        <v>#DIV/0!</v>
      </c>
      <c r="S97" s="55" t="e">
        <f t="shared" si="3"/>
        <v>#DIV/0!</v>
      </c>
    </row>
    <row r="98" spans="2:19" x14ac:dyDescent="0.25">
      <c r="B98" s="53">
        <f>Proteção!B97</f>
        <v>0</v>
      </c>
      <c r="C98" s="60">
        <f>Proteção!C97</f>
        <v>0</v>
      </c>
      <c r="D98" s="60">
        <f>C98/'Div. ckts'!$D$17</f>
        <v>0</v>
      </c>
      <c r="E98" s="56">
        <v>1</v>
      </c>
      <c r="F98" s="56">
        <v>1</v>
      </c>
      <c r="G98" s="56">
        <v>1</v>
      </c>
      <c r="H98" s="56">
        <v>1</v>
      </c>
      <c r="I98" s="61">
        <f t="shared" si="4"/>
        <v>0</v>
      </c>
      <c r="J98" s="56"/>
      <c r="K98" s="56"/>
      <c r="L98" s="56"/>
      <c r="M98" s="56"/>
      <c r="N98" s="56"/>
      <c r="O98" s="56"/>
      <c r="P98" s="56"/>
      <c r="Q98" s="56"/>
      <c r="R98" s="55" t="e">
        <f>(200*O98*P98*D98)/(Q98*'Div. ckts'!$E$17)</f>
        <v>#DIV/0!</v>
      </c>
      <c r="S98" s="55" t="e">
        <f t="shared" si="3"/>
        <v>#DIV/0!</v>
      </c>
    </row>
    <row r="99" spans="2:19" x14ac:dyDescent="0.25">
      <c r="B99" s="53">
        <f>Proteção!B98</f>
        <v>0</v>
      </c>
      <c r="C99" s="60">
        <f>Proteção!C98</f>
        <v>0</v>
      </c>
      <c r="D99" s="60">
        <f>C99/'Div. ckts'!$D$17</f>
        <v>0</v>
      </c>
      <c r="E99" s="54">
        <v>1</v>
      </c>
      <c r="F99" s="54">
        <v>1</v>
      </c>
      <c r="G99" s="54">
        <v>1</v>
      </c>
      <c r="H99" s="54">
        <v>1</v>
      </c>
      <c r="I99" s="61">
        <f t="shared" si="4"/>
        <v>0</v>
      </c>
      <c r="J99" s="54"/>
      <c r="K99" s="54"/>
      <c r="L99" s="54"/>
      <c r="M99" s="54"/>
      <c r="N99" s="54"/>
      <c r="O99" s="54"/>
      <c r="P99" s="54"/>
      <c r="Q99" s="54"/>
      <c r="R99" s="55" t="e">
        <f>(200*O99*P99*D99)/(Q99*'Div. ckts'!$E$17)</f>
        <v>#DIV/0!</v>
      </c>
      <c r="S99" s="55" t="e">
        <f t="shared" si="3"/>
        <v>#DIV/0!</v>
      </c>
    </row>
    <row r="100" spans="2:19" x14ac:dyDescent="0.25">
      <c r="B100" s="53">
        <f>Proteção!B99</f>
        <v>0</v>
      </c>
      <c r="C100" s="60">
        <f>Proteção!C99</f>
        <v>0</v>
      </c>
      <c r="D100" s="60">
        <f>C100/'Div. ckts'!$D$17</f>
        <v>0</v>
      </c>
      <c r="E100" s="56">
        <v>1</v>
      </c>
      <c r="F100" s="56">
        <v>1</v>
      </c>
      <c r="G100" s="56">
        <v>1</v>
      </c>
      <c r="H100" s="56">
        <v>1</v>
      </c>
      <c r="I100" s="61">
        <f t="shared" si="4"/>
        <v>0</v>
      </c>
      <c r="J100" s="56"/>
      <c r="K100" s="56"/>
      <c r="L100" s="56"/>
      <c r="M100" s="56"/>
      <c r="N100" s="56"/>
      <c r="O100" s="56"/>
      <c r="P100" s="56"/>
      <c r="Q100" s="56"/>
      <c r="R100" s="55" t="e">
        <f>(200*O100*P100*D100)/(Q100*'Div. ckts'!$E$17)</f>
        <v>#DIV/0!</v>
      </c>
      <c r="S100" s="55" t="e">
        <f t="shared" ref="S100:S131" si="5">MAX(N100,R100)</f>
        <v>#DIV/0!</v>
      </c>
    </row>
    <row r="101" spans="2:19" x14ac:dyDescent="0.25">
      <c r="B101" s="53">
        <f>Proteção!B100</f>
        <v>0</v>
      </c>
      <c r="C101" s="60">
        <f>Proteção!C100</f>
        <v>0</v>
      </c>
      <c r="D101" s="60">
        <f>C101/'Div. ckts'!$D$17</f>
        <v>0</v>
      </c>
      <c r="E101" s="54">
        <v>1</v>
      </c>
      <c r="F101" s="54">
        <v>1</v>
      </c>
      <c r="G101" s="54">
        <v>1</v>
      </c>
      <c r="H101" s="54">
        <v>1</v>
      </c>
      <c r="I101" s="61">
        <f t="shared" si="4"/>
        <v>0</v>
      </c>
      <c r="J101" s="54"/>
      <c r="K101" s="54"/>
      <c r="L101" s="54"/>
      <c r="M101" s="54"/>
      <c r="N101" s="54"/>
      <c r="O101" s="54"/>
      <c r="P101" s="54"/>
      <c r="Q101" s="54"/>
      <c r="R101" s="55" t="e">
        <f>(200*O101*P101*D101)/(Q101*'Div. ckts'!$E$17)</f>
        <v>#DIV/0!</v>
      </c>
      <c r="S101" s="55" t="e">
        <f t="shared" si="5"/>
        <v>#DIV/0!</v>
      </c>
    </row>
    <row r="102" spans="2:19" x14ac:dyDescent="0.25">
      <c r="B102" s="53">
        <f>Proteção!B101</f>
        <v>0</v>
      </c>
      <c r="C102" s="60">
        <f>Proteção!C101</f>
        <v>0</v>
      </c>
      <c r="D102" s="60">
        <f>C102/'Div. ckts'!$D$17</f>
        <v>0</v>
      </c>
      <c r="E102" s="56">
        <v>1</v>
      </c>
      <c r="F102" s="56">
        <v>1</v>
      </c>
      <c r="G102" s="56">
        <v>1</v>
      </c>
      <c r="H102" s="56">
        <v>1</v>
      </c>
      <c r="I102" s="61">
        <f t="shared" si="4"/>
        <v>0</v>
      </c>
      <c r="J102" s="56"/>
      <c r="K102" s="56"/>
      <c r="L102" s="56"/>
      <c r="M102" s="56"/>
      <c r="N102" s="56"/>
      <c r="O102" s="56"/>
      <c r="P102" s="56"/>
      <c r="Q102" s="56"/>
      <c r="R102" s="55" t="e">
        <f>(200*O102*P102*D102)/(Q102*'Div. ckts'!$E$17)</f>
        <v>#DIV/0!</v>
      </c>
      <c r="S102" s="55" t="e">
        <f t="shared" si="5"/>
        <v>#DIV/0!</v>
      </c>
    </row>
    <row r="103" spans="2:19" x14ac:dyDescent="0.25">
      <c r="B103" s="53">
        <f>Proteção!B102</f>
        <v>0</v>
      </c>
      <c r="C103" s="60">
        <f>Proteção!C102</f>
        <v>0</v>
      </c>
      <c r="D103" s="60">
        <f>C103/'Div. ckts'!$D$17</f>
        <v>0</v>
      </c>
      <c r="E103" s="54">
        <v>1</v>
      </c>
      <c r="F103" s="54">
        <v>1</v>
      </c>
      <c r="G103" s="54">
        <v>1</v>
      </c>
      <c r="H103" s="54">
        <v>1</v>
      </c>
      <c r="I103" s="61">
        <f t="shared" si="4"/>
        <v>0</v>
      </c>
      <c r="J103" s="54"/>
      <c r="K103" s="54"/>
      <c r="L103" s="54"/>
      <c r="M103" s="54"/>
      <c r="N103" s="54"/>
      <c r="O103" s="54"/>
      <c r="P103" s="54"/>
      <c r="Q103" s="54"/>
      <c r="R103" s="55" t="e">
        <f>(200*O103*P103*D103)/(Q103*'Div. ckts'!$E$17)</f>
        <v>#DIV/0!</v>
      </c>
      <c r="S103" s="55" t="e">
        <f t="shared" si="5"/>
        <v>#DIV/0!</v>
      </c>
    </row>
    <row r="104" spans="2:19" x14ac:dyDescent="0.25">
      <c r="B104" s="53">
        <f>Proteção!B103</f>
        <v>0</v>
      </c>
      <c r="C104" s="60">
        <f>Proteção!C103</f>
        <v>0</v>
      </c>
      <c r="D104" s="60">
        <f>C104/'Div. ckts'!$D$17</f>
        <v>0</v>
      </c>
      <c r="E104" s="56">
        <v>1</v>
      </c>
      <c r="F104" s="56">
        <v>1</v>
      </c>
      <c r="G104" s="56">
        <v>1</v>
      </c>
      <c r="H104" s="56">
        <v>1</v>
      </c>
      <c r="I104" s="61">
        <f t="shared" si="4"/>
        <v>0</v>
      </c>
      <c r="J104" s="56"/>
      <c r="K104" s="56"/>
      <c r="L104" s="56"/>
      <c r="M104" s="56"/>
      <c r="N104" s="56"/>
      <c r="O104" s="56"/>
      <c r="P104" s="56"/>
      <c r="Q104" s="56"/>
      <c r="R104" s="55" t="e">
        <f>(200*O104*P104*D104)/(Q104*'Div. ckts'!$E$17)</f>
        <v>#DIV/0!</v>
      </c>
      <c r="S104" s="55" t="e">
        <f t="shared" si="5"/>
        <v>#DIV/0!</v>
      </c>
    </row>
    <row r="105" spans="2:19" x14ac:dyDescent="0.25">
      <c r="B105" s="53">
        <f>Proteção!B104</f>
        <v>0</v>
      </c>
      <c r="C105" s="60">
        <f>Proteção!C104</f>
        <v>0</v>
      </c>
      <c r="D105" s="60">
        <f>C105/'Div. ckts'!$D$17</f>
        <v>0</v>
      </c>
      <c r="E105" s="54">
        <v>1</v>
      </c>
      <c r="F105" s="54">
        <v>1</v>
      </c>
      <c r="G105" s="54">
        <v>1</v>
      </c>
      <c r="H105" s="54">
        <v>1</v>
      </c>
      <c r="I105" s="61">
        <f t="shared" si="4"/>
        <v>0</v>
      </c>
      <c r="J105" s="54"/>
      <c r="K105" s="54"/>
      <c r="L105" s="54"/>
      <c r="M105" s="54"/>
      <c r="N105" s="54"/>
      <c r="O105" s="54"/>
      <c r="P105" s="54"/>
      <c r="Q105" s="54"/>
      <c r="R105" s="55" t="e">
        <f>(200*O105*P105*D105)/(Q105*'Div. ckts'!$E$17)</f>
        <v>#DIV/0!</v>
      </c>
      <c r="S105" s="55" t="e">
        <f t="shared" si="5"/>
        <v>#DIV/0!</v>
      </c>
    </row>
    <row r="106" spans="2:19" x14ac:dyDescent="0.25">
      <c r="B106" s="53">
        <f>Proteção!B105</f>
        <v>0</v>
      </c>
      <c r="C106" s="60">
        <f>Proteção!C105</f>
        <v>0</v>
      </c>
      <c r="D106" s="60">
        <f>C106/'Div. ckts'!$D$17</f>
        <v>0</v>
      </c>
      <c r="E106" s="56">
        <v>1</v>
      </c>
      <c r="F106" s="56">
        <v>1</v>
      </c>
      <c r="G106" s="56">
        <v>1</v>
      </c>
      <c r="H106" s="56">
        <v>1</v>
      </c>
      <c r="I106" s="61">
        <f t="shared" si="4"/>
        <v>0</v>
      </c>
      <c r="J106" s="56"/>
      <c r="K106" s="56"/>
      <c r="L106" s="56"/>
      <c r="M106" s="56"/>
      <c r="N106" s="56"/>
      <c r="O106" s="56"/>
      <c r="P106" s="56"/>
      <c r="Q106" s="56"/>
      <c r="R106" s="55" t="e">
        <f>(200*O106*P106*D106)/(Q106*'Div. ckts'!$E$17)</f>
        <v>#DIV/0!</v>
      </c>
      <c r="S106" s="55" t="e">
        <f t="shared" si="5"/>
        <v>#DIV/0!</v>
      </c>
    </row>
    <row r="107" spans="2:19" x14ac:dyDescent="0.25">
      <c r="B107" s="53">
        <f>Proteção!B106</f>
        <v>0</v>
      </c>
      <c r="C107" s="60">
        <f>Proteção!C106</f>
        <v>0</v>
      </c>
      <c r="D107" s="60">
        <f>C107/'Div. ckts'!$D$17</f>
        <v>0</v>
      </c>
      <c r="E107" s="54">
        <v>1</v>
      </c>
      <c r="F107" s="54">
        <v>1</v>
      </c>
      <c r="G107" s="54">
        <v>1</v>
      </c>
      <c r="H107" s="54">
        <v>1</v>
      </c>
      <c r="I107" s="61">
        <f t="shared" si="4"/>
        <v>0</v>
      </c>
      <c r="J107" s="54"/>
      <c r="K107" s="54"/>
      <c r="L107" s="54"/>
      <c r="M107" s="54"/>
      <c r="N107" s="54"/>
      <c r="O107" s="54"/>
      <c r="P107" s="54"/>
      <c r="Q107" s="54"/>
      <c r="R107" s="55" t="e">
        <f>(200*O107*P107*D107)/(Q107*'Div. ckts'!$E$17)</f>
        <v>#DIV/0!</v>
      </c>
      <c r="S107" s="55" t="e">
        <f t="shared" si="5"/>
        <v>#DIV/0!</v>
      </c>
    </row>
    <row r="108" spans="2:19" x14ac:dyDescent="0.25">
      <c r="B108" s="53">
        <f>Proteção!B107</f>
        <v>0</v>
      </c>
      <c r="C108" s="60">
        <f>Proteção!C107</f>
        <v>0</v>
      </c>
      <c r="D108" s="60">
        <f>C108/'Div. ckts'!$D$17</f>
        <v>0</v>
      </c>
      <c r="E108" s="56">
        <v>1</v>
      </c>
      <c r="F108" s="56">
        <v>1</v>
      </c>
      <c r="G108" s="56">
        <v>1</v>
      </c>
      <c r="H108" s="56">
        <v>1</v>
      </c>
      <c r="I108" s="61">
        <f t="shared" si="4"/>
        <v>0</v>
      </c>
      <c r="J108" s="56"/>
      <c r="K108" s="56"/>
      <c r="L108" s="56"/>
      <c r="M108" s="56"/>
      <c r="N108" s="56"/>
      <c r="O108" s="56"/>
      <c r="P108" s="56"/>
      <c r="Q108" s="56"/>
      <c r="R108" s="55" t="e">
        <f>(200*O108*P108*D108)/(Q108*'Div. ckts'!$E$17)</f>
        <v>#DIV/0!</v>
      </c>
      <c r="S108" s="55" t="e">
        <f t="shared" si="5"/>
        <v>#DIV/0!</v>
      </c>
    </row>
    <row r="109" spans="2:19" x14ac:dyDescent="0.25">
      <c r="B109" s="53">
        <f>Proteção!B108</f>
        <v>0</v>
      </c>
      <c r="C109" s="60">
        <f>Proteção!C108</f>
        <v>0</v>
      </c>
      <c r="D109" s="60">
        <f>C109/'Div. ckts'!$D$17</f>
        <v>0</v>
      </c>
      <c r="E109" s="54">
        <v>1</v>
      </c>
      <c r="F109" s="54">
        <v>1</v>
      </c>
      <c r="G109" s="54">
        <v>1</v>
      </c>
      <c r="H109" s="54">
        <v>1</v>
      </c>
      <c r="I109" s="61">
        <f t="shared" si="4"/>
        <v>0</v>
      </c>
      <c r="J109" s="54"/>
      <c r="K109" s="54"/>
      <c r="L109" s="54"/>
      <c r="M109" s="54"/>
      <c r="N109" s="54"/>
      <c r="O109" s="54"/>
      <c r="P109" s="54"/>
      <c r="Q109" s="54"/>
      <c r="R109" s="55" t="e">
        <f>(200*O109*P109*D109)/(Q109*'Div. ckts'!$E$17)</f>
        <v>#DIV/0!</v>
      </c>
      <c r="S109" s="55" t="e">
        <f t="shared" si="5"/>
        <v>#DIV/0!</v>
      </c>
    </row>
    <row r="110" spans="2:19" x14ac:dyDescent="0.25">
      <c r="B110" s="53">
        <f>Proteção!B109</f>
        <v>0</v>
      </c>
      <c r="C110" s="60">
        <f>Proteção!C109</f>
        <v>0</v>
      </c>
      <c r="D110" s="60">
        <f>C110/'Div. ckts'!$D$17</f>
        <v>0</v>
      </c>
      <c r="E110" s="56">
        <v>1</v>
      </c>
      <c r="F110" s="56">
        <v>1</v>
      </c>
      <c r="G110" s="56">
        <v>1</v>
      </c>
      <c r="H110" s="56">
        <v>1</v>
      </c>
      <c r="I110" s="61">
        <f t="shared" si="4"/>
        <v>0</v>
      </c>
      <c r="J110" s="56"/>
      <c r="K110" s="56"/>
      <c r="L110" s="56"/>
      <c r="M110" s="56"/>
      <c r="N110" s="56"/>
      <c r="O110" s="56"/>
      <c r="P110" s="56"/>
      <c r="Q110" s="56"/>
      <c r="R110" s="55" t="e">
        <f>(200*O110*P110*D110)/(Q110*'Div. ckts'!$E$17)</f>
        <v>#DIV/0!</v>
      </c>
      <c r="S110" s="55" t="e">
        <f t="shared" si="5"/>
        <v>#DIV/0!</v>
      </c>
    </row>
    <row r="111" spans="2:19" x14ac:dyDescent="0.25">
      <c r="B111" s="53">
        <f>Proteção!B110</f>
        <v>0</v>
      </c>
      <c r="C111" s="60">
        <f>Proteção!C110</f>
        <v>0</v>
      </c>
      <c r="D111" s="60">
        <f>C111/'Div. ckts'!$D$17</f>
        <v>0</v>
      </c>
      <c r="E111" s="54">
        <v>1</v>
      </c>
      <c r="F111" s="54">
        <v>1</v>
      </c>
      <c r="G111" s="54">
        <v>1</v>
      </c>
      <c r="H111" s="54">
        <v>1</v>
      </c>
      <c r="I111" s="61">
        <f t="shared" si="4"/>
        <v>0</v>
      </c>
      <c r="J111" s="54"/>
      <c r="K111" s="54"/>
      <c r="L111" s="54"/>
      <c r="M111" s="54"/>
      <c r="N111" s="54"/>
      <c r="O111" s="54"/>
      <c r="P111" s="54"/>
      <c r="Q111" s="54"/>
      <c r="R111" s="55" t="e">
        <f>(200*O111*P111*D111)/(Q111*'Div. ckts'!$E$17)</f>
        <v>#DIV/0!</v>
      </c>
      <c r="S111" s="55" t="e">
        <f t="shared" si="5"/>
        <v>#DIV/0!</v>
      </c>
    </row>
    <row r="112" spans="2:19" x14ac:dyDescent="0.25">
      <c r="B112" s="53">
        <f>Proteção!B111</f>
        <v>0</v>
      </c>
      <c r="C112" s="60">
        <f>Proteção!C111</f>
        <v>0</v>
      </c>
      <c r="D112" s="60">
        <f>C112/'Div. ckts'!$D$17</f>
        <v>0</v>
      </c>
      <c r="E112" s="56">
        <v>1</v>
      </c>
      <c r="F112" s="56">
        <v>1</v>
      </c>
      <c r="G112" s="56">
        <v>1</v>
      </c>
      <c r="H112" s="56">
        <v>1</v>
      </c>
      <c r="I112" s="61">
        <f t="shared" si="4"/>
        <v>0</v>
      </c>
      <c r="J112" s="56"/>
      <c r="K112" s="56"/>
      <c r="L112" s="56"/>
      <c r="M112" s="56"/>
      <c r="N112" s="56"/>
      <c r="O112" s="56"/>
      <c r="P112" s="56"/>
      <c r="Q112" s="56"/>
      <c r="R112" s="55" t="e">
        <f>(200*O112*P112*D112)/(Q112*'Div. ckts'!$E$17)</f>
        <v>#DIV/0!</v>
      </c>
      <c r="S112" s="55" t="e">
        <f t="shared" si="5"/>
        <v>#DIV/0!</v>
      </c>
    </row>
    <row r="113" spans="2:19" x14ac:dyDescent="0.25">
      <c r="B113" s="53">
        <f>Proteção!B112</f>
        <v>0</v>
      </c>
      <c r="C113" s="60">
        <f>Proteção!C112</f>
        <v>0</v>
      </c>
      <c r="D113" s="60">
        <f>C113/'Div. ckts'!$D$17</f>
        <v>0</v>
      </c>
      <c r="E113" s="54">
        <v>1</v>
      </c>
      <c r="F113" s="54">
        <v>1</v>
      </c>
      <c r="G113" s="54">
        <v>1</v>
      </c>
      <c r="H113" s="54">
        <v>1</v>
      </c>
      <c r="I113" s="61">
        <f t="shared" si="4"/>
        <v>0</v>
      </c>
      <c r="J113" s="54"/>
      <c r="K113" s="54"/>
      <c r="L113" s="54"/>
      <c r="M113" s="54"/>
      <c r="N113" s="54"/>
      <c r="O113" s="54"/>
      <c r="P113" s="54"/>
      <c r="Q113" s="54"/>
      <c r="R113" s="55" t="e">
        <f>(200*O113*P113*D113)/(Q113*'Div. ckts'!$E$17)</f>
        <v>#DIV/0!</v>
      </c>
      <c r="S113" s="55" t="e">
        <f t="shared" si="5"/>
        <v>#DIV/0!</v>
      </c>
    </row>
    <row r="114" spans="2:19" x14ac:dyDescent="0.25">
      <c r="B114" s="53">
        <f>Proteção!B113</f>
        <v>0</v>
      </c>
      <c r="C114" s="60">
        <f>Proteção!C113</f>
        <v>0</v>
      </c>
      <c r="D114" s="60">
        <f>C114/'Div. ckts'!$D$17</f>
        <v>0</v>
      </c>
      <c r="E114" s="56">
        <v>1</v>
      </c>
      <c r="F114" s="56">
        <v>1</v>
      </c>
      <c r="G114" s="56">
        <v>1</v>
      </c>
      <c r="H114" s="56">
        <v>1</v>
      </c>
      <c r="I114" s="61">
        <f t="shared" si="4"/>
        <v>0</v>
      </c>
      <c r="J114" s="56"/>
      <c r="K114" s="56"/>
      <c r="L114" s="56"/>
      <c r="M114" s="56"/>
      <c r="N114" s="56"/>
      <c r="O114" s="56"/>
      <c r="P114" s="56"/>
      <c r="Q114" s="56"/>
      <c r="R114" s="55" t="e">
        <f>(200*O114*P114*D114)/(Q114*'Div. ckts'!$E$17)</f>
        <v>#DIV/0!</v>
      </c>
      <c r="S114" s="55" t="e">
        <f t="shared" si="5"/>
        <v>#DIV/0!</v>
      </c>
    </row>
    <row r="115" spans="2:19" x14ac:dyDescent="0.25">
      <c r="B115" s="53">
        <f>Proteção!B114</f>
        <v>0</v>
      </c>
      <c r="C115" s="60">
        <f>Proteção!C114</f>
        <v>0</v>
      </c>
      <c r="D115" s="60">
        <f>C115/'Div. ckts'!$D$17</f>
        <v>0</v>
      </c>
      <c r="E115" s="54">
        <v>1</v>
      </c>
      <c r="F115" s="54">
        <v>1</v>
      </c>
      <c r="G115" s="54">
        <v>1</v>
      </c>
      <c r="H115" s="54">
        <v>1</v>
      </c>
      <c r="I115" s="61">
        <f t="shared" si="4"/>
        <v>0</v>
      </c>
      <c r="J115" s="54"/>
      <c r="K115" s="54"/>
      <c r="L115" s="54"/>
      <c r="M115" s="54"/>
      <c r="N115" s="54"/>
      <c r="O115" s="54"/>
      <c r="P115" s="54"/>
      <c r="Q115" s="54"/>
      <c r="R115" s="55" t="e">
        <f>(200*O115*P115*D115)/(Q115*'Div. ckts'!$E$17)</f>
        <v>#DIV/0!</v>
      </c>
      <c r="S115" s="55" t="e">
        <f t="shared" si="5"/>
        <v>#DIV/0!</v>
      </c>
    </row>
    <row r="116" spans="2:19" x14ac:dyDescent="0.25">
      <c r="B116" s="53">
        <f>Proteção!B115</f>
        <v>0</v>
      </c>
      <c r="C116" s="60">
        <f>Proteção!C115</f>
        <v>0</v>
      </c>
      <c r="D116" s="60">
        <f>C116/'Div. ckts'!$D$17</f>
        <v>0</v>
      </c>
      <c r="E116" s="56">
        <v>1</v>
      </c>
      <c r="F116" s="56">
        <v>1</v>
      </c>
      <c r="G116" s="56">
        <v>1</v>
      </c>
      <c r="H116" s="56">
        <v>1</v>
      </c>
      <c r="I116" s="61">
        <f t="shared" si="4"/>
        <v>0</v>
      </c>
      <c r="J116" s="56"/>
      <c r="K116" s="56"/>
      <c r="L116" s="56"/>
      <c r="M116" s="56"/>
      <c r="N116" s="56"/>
      <c r="O116" s="56"/>
      <c r="P116" s="56"/>
      <c r="Q116" s="56"/>
      <c r="R116" s="55" t="e">
        <f>(200*O116*P116*D116)/(Q116*'Div. ckts'!$E$17)</f>
        <v>#DIV/0!</v>
      </c>
      <c r="S116" s="55" t="e">
        <f t="shared" si="5"/>
        <v>#DIV/0!</v>
      </c>
    </row>
    <row r="117" spans="2:19" x14ac:dyDescent="0.25">
      <c r="B117" s="53">
        <f>Proteção!B116</f>
        <v>0</v>
      </c>
      <c r="C117" s="60">
        <f>Proteção!C116</f>
        <v>0</v>
      </c>
      <c r="D117" s="60">
        <f>C117/'Div. ckts'!$D$17</f>
        <v>0</v>
      </c>
      <c r="E117" s="54">
        <v>1</v>
      </c>
      <c r="F117" s="54">
        <v>1</v>
      </c>
      <c r="G117" s="54">
        <v>1</v>
      </c>
      <c r="H117" s="54">
        <v>1</v>
      </c>
      <c r="I117" s="61">
        <f t="shared" si="4"/>
        <v>0</v>
      </c>
      <c r="J117" s="54"/>
      <c r="K117" s="54"/>
      <c r="L117" s="54"/>
      <c r="M117" s="54"/>
      <c r="N117" s="54"/>
      <c r="O117" s="54"/>
      <c r="P117" s="54"/>
      <c r="Q117" s="54"/>
      <c r="R117" s="55" t="e">
        <f>(200*O117*P117*D117)/(Q117*'Div. ckts'!$E$17)</f>
        <v>#DIV/0!</v>
      </c>
      <c r="S117" s="55" t="e">
        <f t="shared" si="5"/>
        <v>#DIV/0!</v>
      </c>
    </row>
    <row r="118" spans="2:19" x14ac:dyDescent="0.25">
      <c r="B118" s="53">
        <f>Proteção!B117</f>
        <v>0</v>
      </c>
      <c r="C118" s="60">
        <f>Proteção!C117</f>
        <v>0</v>
      </c>
      <c r="D118" s="60">
        <f>C118/'Div. ckts'!$D$17</f>
        <v>0</v>
      </c>
      <c r="E118" s="56">
        <v>1</v>
      </c>
      <c r="F118" s="56">
        <v>1</v>
      </c>
      <c r="G118" s="56">
        <v>1</v>
      </c>
      <c r="H118" s="56">
        <v>1</v>
      </c>
      <c r="I118" s="61">
        <f t="shared" si="4"/>
        <v>0</v>
      </c>
      <c r="J118" s="56"/>
      <c r="K118" s="56"/>
      <c r="L118" s="56"/>
      <c r="M118" s="56"/>
      <c r="N118" s="56"/>
      <c r="O118" s="56"/>
      <c r="P118" s="56"/>
      <c r="Q118" s="56"/>
      <c r="R118" s="55" t="e">
        <f>(200*O118*P118*D118)/(Q118*'Div. ckts'!$E$17)</f>
        <v>#DIV/0!</v>
      </c>
      <c r="S118" s="55" t="e">
        <f t="shared" si="5"/>
        <v>#DIV/0!</v>
      </c>
    </row>
    <row r="119" spans="2:19" x14ac:dyDescent="0.25">
      <c r="B119" s="53">
        <f>Proteção!B118</f>
        <v>0</v>
      </c>
      <c r="C119" s="60">
        <f>Proteção!C118</f>
        <v>0</v>
      </c>
      <c r="D119" s="60">
        <f>C119/'Div. ckts'!$D$17</f>
        <v>0</v>
      </c>
      <c r="E119" s="54">
        <v>1</v>
      </c>
      <c r="F119" s="54">
        <v>1</v>
      </c>
      <c r="G119" s="54">
        <v>1</v>
      </c>
      <c r="H119" s="54">
        <v>1</v>
      </c>
      <c r="I119" s="61">
        <f t="shared" si="4"/>
        <v>0</v>
      </c>
      <c r="J119" s="54"/>
      <c r="K119" s="54"/>
      <c r="L119" s="54"/>
      <c r="M119" s="54"/>
      <c r="N119" s="54"/>
      <c r="O119" s="54"/>
      <c r="P119" s="54"/>
      <c r="Q119" s="54"/>
      <c r="R119" s="55" t="e">
        <f>(200*O119*P119*D119)/(Q119*'Div. ckts'!$E$17)</f>
        <v>#DIV/0!</v>
      </c>
      <c r="S119" s="55" t="e">
        <f t="shared" si="5"/>
        <v>#DIV/0!</v>
      </c>
    </row>
    <row r="120" spans="2:19" x14ac:dyDescent="0.25">
      <c r="B120" s="53">
        <f>Proteção!B119</f>
        <v>0</v>
      </c>
      <c r="C120" s="60">
        <f>Proteção!C119</f>
        <v>0</v>
      </c>
      <c r="D120" s="60">
        <f>C120/'Div. ckts'!$D$17</f>
        <v>0</v>
      </c>
      <c r="E120" s="56">
        <v>1</v>
      </c>
      <c r="F120" s="56">
        <v>1</v>
      </c>
      <c r="G120" s="56">
        <v>1</v>
      </c>
      <c r="H120" s="56">
        <v>1</v>
      </c>
      <c r="I120" s="61">
        <f t="shared" si="4"/>
        <v>0</v>
      </c>
      <c r="J120" s="56"/>
      <c r="K120" s="56"/>
      <c r="L120" s="56"/>
      <c r="M120" s="56"/>
      <c r="N120" s="56"/>
      <c r="O120" s="56"/>
      <c r="P120" s="56"/>
      <c r="Q120" s="56"/>
      <c r="R120" s="55" t="e">
        <f>(200*O120*P120*D120)/(Q120*'Div. ckts'!$E$17)</f>
        <v>#DIV/0!</v>
      </c>
      <c r="S120" s="55" t="e">
        <f t="shared" si="5"/>
        <v>#DIV/0!</v>
      </c>
    </row>
    <row r="121" spans="2:19" x14ac:dyDescent="0.25">
      <c r="B121" s="53">
        <f>Proteção!B120</f>
        <v>0</v>
      </c>
      <c r="C121" s="60">
        <f>Proteção!C120</f>
        <v>0</v>
      </c>
      <c r="D121" s="60">
        <f>C121/'Div. ckts'!$D$17</f>
        <v>0</v>
      </c>
      <c r="E121" s="54">
        <v>1</v>
      </c>
      <c r="F121" s="54">
        <v>1</v>
      </c>
      <c r="G121" s="54">
        <v>1</v>
      </c>
      <c r="H121" s="54">
        <v>1</v>
      </c>
      <c r="I121" s="61">
        <f t="shared" si="4"/>
        <v>0</v>
      </c>
      <c r="J121" s="54"/>
      <c r="K121" s="54"/>
      <c r="L121" s="54"/>
      <c r="M121" s="54"/>
      <c r="N121" s="54"/>
      <c r="O121" s="54"/>
      <c r="P121" s="54"/>
      <c r="Q121" s="54"/>
      <c r="R121" s="55" t="e">
        <f>(200*O121*P121*D121)/(Q121*'Div. ckts'!$E$17)</f>
        <v>#DIV/0!</v>
      </c>
      <c r="S121" s="55" t="e">
        <f t="shared" si="5"/>
        <v>#DIV/0!</v>
      </c>
    </row>
    <row r="122" spans="2:19" x14ac:dyDescent="0.25">
      <c r="B122" s="53">
        <f>Proteção!B121</f>
        <v>0</v>
      </c>
      <c r="C122" s="60">
        <f>Proteção!C121</f>
        <v>0</v>
      </c>
      <c r="D122" s="60">
        <f>C122/'Div. ckts'!$D$17</f>
        <v>0</v>
      </c>
      <c r="E122" s="56">
        <v>1</v>
      </c>
      <c r="F122" s="56">
        <v>1</v>
      </c>
      <c r="G122" s="56">
        <v>1</v>
      </c>
      <c r="H122" s="56">
        <v>1</v>
      </c>
      <c r="I122" s="61">
        <f t="shared" si="4"/>
        <v>0</v>
      </c>
      <c r="J122" s="56"/>
      <c r="K122" s="56"/>
      <c r="L122" s="56"/>
      <c r="M122" s="56"/>
      <c r="N122" s="56"/>
      <c r="O122" s="56"/>
      <c r="P122" s="56"/>
      <c r="Q122" s="56"/>
      <c r="R122" s="55" t="e">
        <f>(200*O122*P122*D122)/(Q122*'Div. ckts'!$E$17)</f>
        <v>#DIV/0!</v>
      </c>
      <c r="S122" s="55" t="e">
        <f t="shared" si="5"/>
        <v>#DIV/0!</v>
      </c>
    </row>
    <row r="123" spans="2:19" x14ac:dyDescent="0.25">
      <c r="B123" s="53">
        <f>Proteção!B122</f>
        <v>0</v>
      </c>
      <c r="C123" s="60">
        <f>Proteção!C122</f>
        <v>0</v>
      </c>
      <c r="D123" s="60">
        <f>C123/'Div. ckts'!$D$17</f>
        <v>0</v>
      </c>
      <c r="E123" s="54">
        <v>1</v>
      </c>
      <c r="F123" s="54">
        <v>1</v>
      </c>
      <c r="G123" s="54">
        <v>1</v>
      </c>
      <c r="H123" s="54">
        <v>1</v>
      </c>
      <c r="I123" s="61">
        <f t="shared" si="4"/>
        <v>0</v>
      </c>
      <c r="J123" s="54"/>
      <c r="K123" s="54"/>
      <c r="L123" s="54"/>
      <c r="M123" s="54"/>
      <c r="N123" s="54"/>
      <c r="O123" s="54"/>
      <c r="P123" s="54"/>
      <c r="Q123" s="54"/>
      <c r="R123" s="55" t="e">
        <f>(200*O123*P123*D123)/(Q123*'Div. ckts'!$E$17)</f>
        <v>#DIV/0!</v>
      </c>
      <c r="S123" s="55" t="e">
        <f t="shared" si="5"/>
        <v>#DIV/0!</v>
      </c>
    </row>
    <row r="124" spans="2:19" x14ac:dyDescent="0.25">
      <c r="B124" s="53">
        <f>Proteção!B123</f>
        <v>0</v>
      </c>
      <c r="C124" s="60">
        <f>Proteção!C123</f>
        <v>0</v>
      </c>
      <c r="D124" s="60">
        <f>C124/'Div. ckts'!$D$17</f>
        <v>0</v>
      </c>
      <c r="E124" s="56">
        <v>1</v>
      </c>
      <c r="F124" s="56">
        <v>1</v>
      </c>
      <c r="G124" s="56">
        <v>1</v>
      </c>
      <c r="H124" s="56">
        <v>1</v>
      </c>
      <c r="I124" s="61">
        <f t="shared" si="4"/>
        <v>0</v>
      </c>
      <c r="J124" s="56"/>
      <c r="K124" s="56"/>
      <c r="L124" s="56"/>
      <c r="M124" s="56"/>
      <c r="N124" s="56"/>
      <c r="O124" s="56"/>
      <c r="P124" s="56"/>
      <c r="Q124" s="56"/>
      <c r="R124" s="55" t="e">
        <f>(200*O124*P124*D124)/(Q124*'Div. ckts'!$E$17)</f>
        <v>#DIV/0!</v>
      </c>
      <c r="S124" s="55" t="e">
        <f t="shared" si="5"/>
        <v>#DIV/0!</v>
      </c>
    </row>
    <row r="125" spans="2:19" x14ac:dyDescent="0.25">
      <c r="B125" s="53">
        <f>Proteção!B124</f>
        <v>0</v>
      </c>
      <c r="C125" s="60">
        <f>Proteção!C124</f>
        <v>0</v>
      </c>
      <c r="D125" s="60">
        <f>C125/'Div. ckts'!$D$17</f>
        <v>0</v>
      </c>
      <c r="E125" s="54">
        <v>1</v>
      </c>
      <c r="F125" s="54">
        <v>1</v>
      </c>
      <c r="G125" s="54">
        <v>1</v>
      </c>
      <c r="H125" s="54">
        <v>1</v>
      </c>
      <c r="I125" s="61">
        <f t="shared" si="4"/>
        <v>0</v>
      </c>
      <c r="J125" s="54"/>
      <c r="K125" s="54"/>
      <c r="L125" s="54"/>
      <c r="M125" s="54"/>
      <c r="N125" s="54"/>
      <c r="O125" s="54"/>
      <c r="P125" s="54"/>
      <c r="Q125" s="54"/>
      <c r="R125" s="55" t="e">
        <f>(200*O125*P125*D125)/(Q125*'Div. ckts'!$E$17)</f>
        <v>#DIV/0!</v>
      </c>
      <c r="S125" s="55" t="e">
        <f t="shared" si="5"/>
        <v>#DIV/0!</v>
      </c>
    </row>
    <row r="126" spans="2:19" x14ac:dyDescent="0.25">
      <c r="B126" s="53">
        <f>Proteção!B125</f>
        <v>0</v>
      </c>
      <c r="C126" s="60">
        <f>Proteção!C125</f>
        <v>0</v>
      </c>
      <c r="D126" s="60">
        <f>C126/'Div. ckts'!$D$17</f>
        <v>0</v>
      </c>
      <c r="E126" s="56">
        <v>1</v>
      </c>
      <c r="F126" s="56">
        <v>1</v>
      </c>
      <c r="G126" s="56">
        <v>1</v>
      </c>
      <c r="H126" s="56">
        <v>1</v>
      </c>
      <c r="I126" s="61">
        <f t="shared" si="4"/>
        <v>0</v>
      </c>
      <c r="J126" s="56"/>
      <c r="K126" s="56"/>
      <c r="L126" s="56"/>
      <c r="M126" s="56"/>
      <c r="N126" s="56"/>
      <c r="O126" s="56"/>
      <c r="P126" s="56"/>
      <c r="Q126" s="56"/>
      <c r="R126" s="55" t="e">
        <f>(200*O126*P126*D126)/(Q126*'Div. ckts'!$E$17)</f>
        <v>#DIV/0!</v>
      </c>
      <c r="S126" s="55" t="e">
        <f t="shared" si="5"/>
        <v>#DIV/0!</v>
      </c>
    </row>
    <row r="127" spans="2:19" x14ac:dyDescent="0.25">
      <c r="B127" s="53">
        <f>Proteção!B126</f>
        <v>0</v>
      </c>
      <c r="C127" s="60">
        <f>Proteção!C126</f>
        <v>0</v>
      </c>
      <c r="D127" s="60">
        <f>C127/'Div. ckts'!$D$17</f>
        <v>0</v>
      </c>
      <c r="E127" s="54">
        <v>1</v>
      </c>
      <c r="F127" s="54">
        <v>1</v>
      </c>
      <c r="G127" s="54">
        <v>1</v>
      </c>
      <c r="H127" s="54">
        <v>1</v>
      </c>
      <c r="I127" s="61">
        <f t="shared" si="4"/>
        <v>0</v>
      </c>
      <c r="J127" s="54"/>
      <c r="K127" s="54"/>
      <c r="L127" s="54"/>
      <c r="M127" s="54"/>
      <c r="N127" s="54"/>
      <c r="O127" s="54"/>
      <c r="P127" s="54"/>
      <c r="Q127" s="54"/>
      <c r="R127" s="55" t="e">
        <f>(200*O127*P127*D127)/(Q127*'Div. ckts'!$E$17)</f>
        <v>#DIV/0!</v>
      </c>
      <c r="S127" s="55" t="e">
        <f t="shared" si="5"/>
        <v>#DIV/0!</v>
      </c>
    </row>
    <row r="128" spans="2:19" x14ac:dyDescent="0.25">
      <c r="B128" s="53">
        <f>Proteção!B127</f>
        <v>0</v>
      </c>
      <c r="C128" s="60">
        <f>Proteção!C127</f>
        <v>0</v>
      </c>
      <c r="D128" s="60">
        <f>C128/'Div. ckts'!$D$17</f>
        <v>0</v>
      </c>
      <c r="E128" s="56">
        <v>1</v>
      </c>
      <c r="F128" s="56">
        <v>1</v>
      </c>
      <c r="G128" s="56">
        <v>1</v>
      </c>
      <c r="H128" s="56">
        <v>1</v>
      </c>
      <c r="I128" s="61">
        <f t="shared" si="4"/>
        <v>0</v>
      </c>
      <c r="J128" s="56"/>
      <c r="K128" s="56"/>
      <c r="L128" s="56"/>
      <c r="M128" s="56"/>
      <c r="N128" s="56"/>
      <c r="O128" s="56"/>
      <c r="P128" s="56"/>
      <c r="Q128" s="56"/>
      <c r="R128" s="55" t="e">
        <f>(200*O128*P128*D128)/(Q128*'Div. ckts'!$E$17)</f>
        <v>#DIV/0!</v>
      </c>
      <c r="S128" s="55" t="e">
        <f t="shared" si="5"/>
        <v>#DIV/0!</v>
      </c>
    </row>
    <row r="129" spans="2:19" x14ac:dyDescent="0.25">
      <c r="B129" s="53">
        <f>Proteção!B128</f>
        <v>0</v>
      </c>
      <c r="C129" s="60">
        <f>Proteção!C128</f>
        <v>0</v>
      </c>
      <c r="D129" s="60">
        <f>C129/'Div. ckts'!$D$17</f>
        <v>0</v>
      </c>
      <c r="E129" s="54">
        <v>1</v>
      </c>
      <c r="F129" s="54">
        <v>1</v>
      </c>
      <c r="G129" s="54">
        <v>1</v>
      </c>
      <c r="H129" s="54">
        <v>1</v>
      </c>
      <c r="I129" s="61">
        <f t="shared" si="4"/>
        <v>0</v>
      </c>
      <c r="J129" s="54"/>
      <c r="K129" s="54"/>
      <c r="L129" s="54"/>
      <c r="M129" s="54"/>
      <c r="N129" s="54"/>
      <c r="O129" s="54"/>
      <c r="P129" s="54"/>
      <c r="Q129" s="54"/>
      <c r="R129" s="55" t="e">
        <f>(200*O129*P129*D129)/(Q129*'Div. ckts'!$E$17)</f>
        <v>#DIV/0!</v>
      </c>
      <c r="S129" s="55" t="e">
        <f t="shared" si="5"/>
        <v>#DIV/0!</v>
      </c>
    </row>
    <row r="130" spans="2:19" x14ac:dyDescent="0.25">
      <c r="B130" s="53">
        <f>Proteção!B129</f>
        <v>0</v>
      </c>
      <c r="C130" s="60">
        <f>Proteção!C129</f>
        <v>0</v>
      </c>
      <c r="D130" s="60">
        <f>C130/'Div. ckts'!$D$17</f>
        <v>0</v>
      </c>
      <c r="E130" s="56">
        <v>1</v>
      </c>
      <c r="F130" s="56">
        <v>1</v>
      </c>
      <c r="G130" s="56">
        <v>1</v>
      </c>
      <c r="H130" s="56">
        <v>1</v>
      </c>
      <c r="I130" s="61">
        <f t="shared" si="4"/>
        <v>0</v>
      </c>
      <c r="J130" s="56"/>
      <c r="K130" s="56"/>
      <c r="L130" s="56"/>
      <c r="M130" s="56"/>
      <c r="N130" s="56"/>
      <c r="O130" s="56"/>
      <c r="P130" s="56"/>
      <c r="Q130" s="56"/>
      <c r="R130" s="55" t="e">
        <f>(200*O130*P130*D130)/(Q130*'Div. ckts'!$E$17)</f>
        <v>#DIV/0!</v>
      </c>
      <c r="S130" s="55" t="e">
        <f t="shared" si="5"/>
        <v>#DIV/0!</v>
      </c>
    </row>
    <row r="131" spans="2:19" x14ac:dyDescent="0.25">
      <c r="B131" s="53">
        <f>Proteção!B130</f>
        <v>0</v>
      </c>
      <c r="C131" s="60">
        <f>Proteção!C130</f>
        <v>0</v>
      </c>
      <c r="D131" s="60">
        <f>C131/'Div. ckts'!$D$17</f>
        <v>0</v>
      </c>
      <c r="E131" s="54">
        <v>1</v>
      </c>
      <c r="F131" s="54">
        <v>1</v>
      </c>
      <c r="G131" s="54">
        <v>1</v>
      </c>
      <c r="H131" s="54">
        <v>1</v>
      </c>
      <c r="I131" s="61">
        <f t="shared" si="4"/>
        <v>0</v>
      </c>
      <c r="J131" s="54"/>
      <c r="K131" s="54"/>
      <c r="L131" s="54"/>
      <c r="M131" s="54"/>
      <c r="N131" s="54"/>
      <c r="O131" s="54"/>
      <c r="P131" s="54"/>
      <c r="Q131" s="54"/>
      <c r="R131" s="55" t="e">
        <f>(200*O131*P131*D131)/(Q131*'Div. ckts'!$E$17)</f>
        <v>#DIV/0!</v>
      </c>
      <c r="S131" s="55" t="e">
        <f t="shared" si="5"/>
        <v>#DIV/0!</v>
      </c>
    </row>
    <row r="132" spans="2:19" x14ac:dyDescent="0.25">
      <c r="B132" s="53">
        <f>Proteção!B131</f>
        <v>0</v>
      </c>
      <c r="C132" s="60">
        <f>Proteção!C131</f>
        <v>0</v>
      </c>
      <c r="D132" s="60">
        <f>C132/'Div. ckts'!$D$17</f>
        <v>0</v>
      </c>
      <c r="E132" s="56">
        <v>1</v>
      </c>
      <c r="F132" s="56">
        <v>1</v>
      </c>
      <c r="G132" s="56">
        <v>1</v>
      </c>
      <c r="H132" s="56">
        <v>1</v>
      </c>
      <c r="I132" s="61">
        <f t="shared" si="4"/>
        <v>0</v>
      </c>
      <c r="J132" s="56"/>
      <c r="K132" s="56"/>
      <c r="L132" s="56"/>
      <c r="M132" s="56"/>
      <c r="N132" s="56"/>
      <c r="O132" s="56"/>
      <c r="P132" s="56"/>
      <c r="Q132" s="56"/>
      <c r="R132" s="55" t="e">
        <f>(200*O132*P132*D132)/(Q132*'Div. ckts'!$E$17)</f>
        <v>#DIV/0!</v>
      </c>
      <c r="S132" s="55" t="e">
        <f t="shared" ref="S132:S135" si="6">MAX(N132,R132)</f>
        <v>#DIV/0!</v>
      </c>
    </row>
    <row r="133" spans="2:19" x14ac:dyDescent="0.25">
      <c r="B133" s="53">
        <f>Proteção!B132</f>
        <v>0</v>
      </c>
      <c r="C133" s="60">
        <f>Proteção!C132</f>
        <v>0</v>
      </c>
      <c r="D133" s="60">
        <f>C133/'Div. ckts'!$D$17</f>
        <v>0</v>
      </c>
      <c r="E133" s="54">
        <v>1</v>
      </c>
      <c r="F133" s="54">
        <v>1</v>
      </c>
      <c r="G133" s="54">
        <v>1</v>
      </c>
      <c r="H133" s="54">
        <v>1</v>
      </c>
      <c r="I133" s="61">
        <f t="shared" si="4"/>
        <v>0</v>
      </c>
      <c r="J133" s="54"/>
      <c r="K133" s="54"/>
      <c r="L133" s="54"/>
      <c r="M133" s="54"/>
      <c r="N133" s="54"/>
      <c r="O133" s="54"/>
      <c r="P133" s="54"/>
      <c r="Q133" s="54"/>
      <c r="R133" s="55" t="e">
        <f>(200*O133*P133*D133)/(Q133*'Div. ckts'!$E$17)</f>
        <v>#DIV/0!</v>
      </c>
      <c r="S133" s="55" t="e">
        <f t="shared" si="6"/>
        <v>#DIV/0!</v>
      </c>
    </row>
    <row r="134" spans="2:19" x14ac:dyDescent="0.25">
      <c r="B134" s="53">
        <f>Proteção!B133</f>
        <v>0</v>
      </c>
      <c r="C134" s="60">
        <f>Proteção!C133</f>
        <v>0</v>
      </c>
      <c r="D134" s="60">
        <f>C134/'Div. ckts'!$D$17</f>
        <v>0</v>
      </c>
      <c r="E134" s="56">
        <v>1</v>
      </c>
      <c r="F134" s="56">
        <v>1</v>
      </c>
      <c r="G134" s="56">
        <v>1</v>
      </c>
      <c r="H134" s="56">
        <v>1</v>
      </c>
      <c r="I134" s="61">
        <f t="shared" ref="I134:I135" si="7">D134*E134/(F134*G134*H134)</f>
        <v>0</v>
      </c>
      <c r="J134" s="56"/>
      <c r="K134" s="56"/>
      <c r="L134" s="56"/>
      <c r="M134" s="56"/>
      <c r="N134" s="56"/>
      <c r="O134" s="56"/>
      <c r="P134" s="56"/>
      <c r="Q134" s="56"/>
      <c r="R134" s="55" t="e">
        <f>(200*O134*P134*D134)/(Q134*'Div. ckts'!$E$17)</f>
        <v>#DIV/0!</v>
      </c>
      <c r="S134" s="55" t="e">
        <f t="shared" si="6"/>
        <v>#DIV/0!</v>
      </c>
    </row>
    <row r="135" spans="2:19" x14ac:dyDescent="0.25">
      <c r="B135" s="53">
        <f>Proteção!B134</f>
        <v>0</v>
      </c>
      <c r="C135" s="60">
        <f>Proteção!C134</f>
        <v>0</v>
      </c>
      <c r="D135" s="60">
        <f>C135/'Div. ckts'!$D$17</f>
        <v>0</v>
      </c>
      <c r="E135" s="57">
        <v>1</v>
      </c>
      <c r="F135" s="57">
        <v>1</v>
      </c>
      <c r="G135" s="57">
        <v>1</v>
      </c>
      <c r="H135" s="57">
        <v>1</v>
      </c>
      <c r="I135" s="61">
        <f t="shared" si="7"/>
        <v>0</v>
      </c>
      <c r="J135" s="57"/>
      <c r="K135" s="57"/>
      <c r="L135" s="57"/>
      <c r="M135" s="57"/>
      <c r="N135" s="57"/>
      <c r="O135" s="57"/>
      <c r="P135" s="57"/>
      <c r="Q135" s="57"/>
      <c r="R135" s="55" t="e">
        <f>(200*O135*P135*D135)/(Q135*'Div. ckts'!$E$17)</f>
        <v>#DIV/0!</v>
      </c>
      <c r="S135" s="55" t="e">
        <f t="shared" si="6"/>
        <v>#DIV/0!</v>
      </c>
    </row>
  </sheetData>
  <mergeCells count="3">
    <mergeCell ref="F2:H2"/>
    <mergeCell ref="J2:N2"/>
    <mergeCell ref="O2:R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Erro" error="Entrada inválida!" xr:uid="{53DDCDC9-7DEF-41D5-9BE0-091BB927F816}">
          <x14:formula1>
            <xm:f>Sistema!$M$2:$M$10</xm:f>
          </x14:formula1>
          <xm:sqref>J4:J135</xm:sqref>
        </x14:dataValidation>
        <x14:dataValidation type="list" allowBlank="1" showInputMessage="1" showErrorMessage="1" errorTitle="Erro" error="Entrada inválida!" xr:uid="{E3BFF5F1-61AF-44B6-9BBF-59625A2AF2E5}">
          <x14:formula1>
            <xm:f>Sistema!$O$2:$O$3</xm:f>
          </x14:formula1>
          <xm:sqref>K4:K135</xm:sqref>
        </x14:dataValidation>
        <x14:dataValidation type="list" allowBlank="1" showInputMessage="1" showErrorMessage="1" errorTitle="Erro" error="Entrada inválida!" xr:uid="{772974BC-390A-4062-B582-3DA4E06DA245}">
          <x14:formula1>
            <xm:f>Sistema!$Q$2:$Q$5</xm:f>
          </x14:formula1>
          <xm:sqref>M4:M135</xm:sqref>
        </x14:dataValidation>
        <x14:dataValidation type="list" allowBlank="1" showInputMessage="1" showErrorMessage="1" errorTitle="Erro" error="Entrada inválida!" xr:uid="{B57C1272-7B54-4BAF-B36D-FC77B564CEB1}">
          <x14:formula1>
            <xm:f>Sistema!$S$2:$S$3</xm:f>
          </x14:formula1>
          <xm:sqref>L4:L135</xm:sqref>
        </x14:dataValidation>
        <x14:dataValidation type="list" allowBlank="1" showInputMessage="1" showErrorMessage="1" errorTitle="Erro" error="Entrada inválida!" xr:uid="{B513D05C-D338-4A60-ACBB-0BD05C569E67}">
          <x14:formula1>
            <xm:f>Sistema!$U$2</xm:f>
          </x14:formula1>
          <xm:sqref>O4:O135</xm:sqref>
        </x14:dataValidation>
        <x14:dataValidation type="list" allowBlank="1" showInputMessage="1" showErrorMessage="1" errorTitle="Erro" error="Entrada inválida!" xr:uid="{BD29B0F7-00B6-4A22-B35D-C5324A88F50D}">
          <x14:formula1>
            <xm:f>Sistema!$W$2:$W$3</xm:f>
          </x14:formula1>
          <xm:sqref>Q4:Q135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97E1B-950F-4153-A592-D101690125D5}">
  <sheetPr codeName="Planilha3"/>
  <dimension ref="B3:L134"/>
  <sheetViews>
    <sheetView topLeftCell="B1" workbookViewId="0">
      <selection activeCell="N17" sqref="N17"/>
    </sheetView>
  </sheetViews>
  <sheetFormatPr defaultRowHeight="15" x14ac:dyDescent="0.25"/>
  <cols>
    <col min="1" max="1" width="0" hidden="1" customWidth="1"/>
    <col min="2" max="2" width="12.5703125" customWidth="1"/>
    <col min="3" max="3" width="14.85546875" bestFit="1" customWidth="1"/>
    <col min="4" max="4" width="17.42578125" customWidth="1"/>
    <col min="5" max="5" width="22.42578125" bestFit="1" customWidth="1"/>
    <col min="6" max="6" width="11.28515625" customWidth="1"/>
    <col min="7" max="7" width="4.7109375" customWidth="1"/>
    <col min="8" max="8" width="15.42578125" customWidth="1"/>
    <col min="9" max="9" width="18.28515625" bestFit="1" customWidth="1"/>
    <col min="10" max="10" width="17.7109375" bestFit="1" customWidth="1"/>
    <col min="11" max="11" width="15.42578125" bestFit="1" customWidth="1"/>
    <col min="12" max="12" width="21.7109375" bestFit="1" customWidth="1"/>
  </cols>
  <sheetData>
    <row r="3" spans="2:12" x14ac:dyDescent="0.25">
      <c r="B3" t="s">
        <v>41</v>
      </c>
      <c r="C3" t="s">
        <v>36</v>
      </c>
      <c r="D3" t="s">
        <v>42</v>
      </c>
      <c r="E3" t="s">
        <v>103</v>
      </c>
      <c r="F3" t="s">
        <v>44</v>
      </c>
      <c r="H3" s="6" t="s">
        <v>135</v>
      </c>
      <c r="I3" s="9" t="s">
        <v>45</v>
      </c>
      <c r="J3" s="6" t="s">
        <v>46</v>
      </c>
      <c r="K3" s="8"/>
      <c r="L3" s="8"/>
    </row>
    <row r="4" spans="2:12" x14ac:dyDescent="0.25">
      <c r="B4" s="45">
        <v>1</v>
      </c>
      <c r="C4" s="47">
        <v>2173.913043478261</v>
      </c>
      <c r="D4" t="e">
        <f>Condutores!S5</f>
        <v>#DIV/0!</v>
      </c>
      <c r="E4" s="62">
        <f>Condutores!I5</f>
        <v>13.917497077325613</v>
      </c>
      <c r="H4" s="48">
        <f>SUM(Tabela_Ckt_TUG[Potência (W)])+SUM(Tabela_Ckt_Ilu.[Potência (W)])</f>
        <v>3460</v>
      </c>
      <c r="I4" s="5">
        <v>1.2</v>
      </c>
      <c r="J4" s="48">
        <f>H4*I4</f>
        <v>4152</v>
      </c>
    </row>
    <row r="5" spans="2:12" x14ac:dyDescent="0.25">
      <c r="B5" s="45">
        <v>2</v>
      </c>
      <c r="C5" s="47">
        <v>3750</v>
      </c>
      <c r="D5" t="e">
        <f>Condutores!S6</f>
        <v>#DIV/0!</v>
      </c>
      <c r="E5" s="62">
        <f>Condutores!I6</f>
        <v>19.592476489028215</v>
      </c>
    </row>
    <row r="6" spans="2:12" x14ac:dyDescent="0.25">
      <c r="B6" s="45">
        <v>3</v>
      </c>
      <c r="C6" s="47">
        <v>1800</v>
      </c>
      <c r="D6" t="e">
        <f>Condutores!S7</f>
        <v>#DIV/0!</v>
      </c>
      <c r="E6" s="62">
        <f>Condutores!I7</f>
        <v>9.4043887147335425</v>
      </c>
      <c r="H6" s="6" t="s">
        <v>136</v>
      </c>
      <c r="I6" s="9" t="s">
        <v>45</v>
      </c>
      <c r="J6" s="6" t="s">
        <v>46</v>
      </c>
    </row>
    <row r="7" spans="2:12" x14ac:dyDescent="0.25">
      <c r="B7" s="45">
        <v>4</v>
      </c>
      <c r="C7" s="47">
        <v>1000</v>
      </c>
      <c r="D7" t="e">
        <f>Condutores!S8</f>
        <v>#DIV/0!</v>
      </c>
      <c r="E7" s="62">
        <f>Condutores!I8</f>
        <v>5.2246603970741905</v>
      </c>
      <c r="H7" s="48">
        <f>SUM(Tabela_Ckt_TUE[Potência (VA)])</f>
        <v>5923.913043478261</v>
      </c>
      <c r="I7" s="5">
        <v>1.2</v>
      </c>
      <c r="J7" s="48">
        <f>H7*I7</f>
        <v>7108.695652173913</v>
      </c>
    </row>
    <row r="8" spans="2:12" x14ac:dyDescent="0.25">
      <c r="B8" s="45">
        <v>5</v>
      </c>
      <c r="C8" s="47">
        <v>280</v>
      </c>
      <c r="D8" t="e">
        <f>Condutores!S9</f>
        <v>#DIV/0!</v>
      </c>
      <c r="E8" s="62">
        <f>Condutores!I9</f>
        <v>1.4629049111807733</v>
      </c>
    </row>
    <row r="9" spans="2:12" x14ac:dyDescent="0.25">
      <c r="B9" s="45">
        <v>6</v>
      </c>
      <c r="C9" s="47">
        <v>380</v>
      </c>
      <c r="D9" t="e">
        <f>Condutores!S10</f>
        <v>#DIV/0!</v>
      </c>
      <c r="E9" s="62">
        <f>Condutores!I10</f>
        <v>1.9853709508881923</v>
      </c>
    </row>
    <row r="10" spans="2:12" x14ac:dyDescent="0.25">
      <c r="B10" s="45"/>
      <c r="C10" s="47"/>
      <c r="D10" t="e">
        <f>Condutores!S11</f>
        <v>#DIV/0!</v>
      </c>
      <c r="E10" s="62">
        <f>Condutores!I11</f>
        <v>0</v>
      </c>
    </row>
    <row r="11" spans="2:12" x14ac:dyDescent="0.25">
      <c r="B11" s="45"/>
      <c r="C11" s="47"/>
      <c r="D11" t="e">
        <f>Condutores!S12</f>
        <v>#DIV/0!</v>
      </c>
      <c r="E11" s="62">
        <f>Condutores!I12</f>
        <v>0</v>
      </c>
      <c r="H11" s="6" t="s">
        <v>137</v>
      </c>
      <c r="I11" s="9" t="s">
        <v>43</v>
      </c>
      <c r="J11" s="6" t="s">
        <v>47</v>
      </c>
      <c r="K11" s="9" t="s">
        <v>42</v>
      </c>
    </row>
    <row r="12" spans="2:12" x14ac:dyDescent="0.25">
      <c r="B12" s="45"/>
      <c r="C12" s="47"/>
      <c r="D12" t="e">
        <f>Condutores!S13</f>
        <v>#DIV/0!</v>
      </c>
      <c r="E12" s="62">
        <f>Condutores!I13</f>
        <v>0</v>
      </c>
      <c r="H12" s="48">
        <f>SUM(J4+J7)</f>
        <v>11260.695652173912</v>
      </c>
      <c r="I12" s="49">
        <f>Condutores!I4</f>
        <v>58.833310617418555</v>
      </c>
      <c r="J12" s="4"/>
      <c r="K12" s="5">
        <f>Condutores!S4</f>
        <v>2.5</v>
      </c>
    </row>
    <row r="13" spans="2:12" x14ac:dyDescent="0.25">
      <c r="B13" s="45"/>
      <c r="C13" s="47"/>
      <c r="D13" t="e">
        <f>Condutores!S14</f>
        <v>#DIV/0!</v>
      </c>
      <c r="E13" s="62">
        <f>Condutores!I14</f>
        <v>0</v>
      </c>
    </row>
    <row r="14" spans="2:12" x14ac:dyDescent="0.25">
      <c r="B14" s="45"/>
      <c r="C14" s="47"/>
      <c r="D14" t="e">
        <f>Condutores!S15</f>
        <v>#DIV/0!</v>
      </c>
      <c r="E14" s="62">
        <f>Condutores!I15</f>
        <v>0</v>
      </c>
    </row>
    <row r="15" spans="2:12" x14ac:dyDescent="0.25">
      <c r="B15" s="45"/>
      <c r="C15" s="47"/>
      <c r="D15" t="e">
        <f>Condutores!S16</f>
        <v>#DIV/0!</v>
      </c>
      <c r="E15" s="62">
        <f>Condutores!I16</f>
        <v>0</v>
      </c>
    </row>
    <row r="16" spans="2:12" x14ac:dyDescent="0.25">
      <c r="B16" s="45"/>
      <c r="C16" s="47"/>
      <c r="D16" t="e">
        <f>Condutores!S17</f>
        <v>#DIV/0!</v>
      </c>
      <c r="E16" s="62">
        <f>Condutores!I17</f>
        <v>0</v>
      </c>
    </row>
    <row r="17" spans="2:5" x14ac:dyDescent="0.25">
      <c r="B17" s="45"/>
      <c r="C17" s="47"/>
      <c r="D17" t="e">
        <f>Condutores!S18</f>
        <v>#DIV/0!</v>
      </c>
      <c r="E17" s="62">
        <f>Condutores!I18</f>
        <v>0</v>
      </c>
    </row>
    <row r="18" spans="2:5" x14ac:dyDescent="0.25">
      <c r="B18" s="45"/>
      <c r="C18" s="47"/>
      <c r="D18" t="e">
        <f>Condutores!S19</f>
        <v>#DIV/0!</v>
      </c>
      <c r="E18" s="62">
        <f>Condutores!I19</f>
        <v>0</v>
      </c>
    </row>
    <row r="19" spans="2:5" x14ac:dyDescent="0.25">
      <c r="B19" s="45"/>
      <c r="C19" s="47"/>
      <c r="D19" t="e">
        <f>Condutores!S20</f>
        <v>#DIV/0!</v>
      </c>
      <c r="E19" s="62">
        <f>Condutores!I20</f>
        <v>0</v>
      </c>
    </row>
    <row r="20" spans="2:5" x14ac:dyDescent="0.25">
      <c r="B20" s="45"/>
      <c r="C20" s="47"/>
      <c r="D20" t="e">
        <f>Condutores!S21</f>
        <v>#DIV/0!</v>
      </c>
      <c r="E20" s="62">
        <f>Condutores!I21</f>
        <v>0</v>
      </c>
    </row>
    <row r="21" spans="2:5" x14ac:dyDescent="0.25">
      <c r="B21" s="45"/>
      <c r="C21" s="47"/>
      <c r="D21" t="e">
        <f>Condutores!S22</f>
        <v>#DIV/0!</v>
      </c>
      <c r="E21" s="62">
        <f>Condutores!I22</f>
        <v>0</v>
      </c>
    </row>
    <row r="22" spans="2:5" x14ac:dyDescent="0.25">
      <c r="B22" s="45"/>
      <c r="C22" s="47"/>
      <c r="D22" t="e">
        <f>Condutores!S23</f>
        <v>#DIV/0!</v>
      </c>
      <c r="E22" s="62">
        <f>Condutores!I23</f>
        <v>0</v>
      </c>
    </row>
    <row r="23" spans="2:5" x14ac:dyDescent="0.25">
      <c r="B23" s="45"/>
      <c r="C23" s="47"/>
      <c r="D23" t="e">
        <f>Condutores!S24</f>
        <v>#DIV/0!</v>
      </c>
      <c r="E23" s="62">
        <f>Condutores!I24</f>
        <v>0</v>
      </c>
    </row>
    <row r="24" spans="2:5" x14ac:dyDescent="0.25">
      <c r="B24" s="45"/>
      <c r="C24" s="47"/>
      <c r="D24" t="e">
        <f>Condutores!S25</f>
        <v>#DIV/0!</v>
      </c>
      <c r="E24" s="62">
        <f>Condutores!I25</f>
        <v>0</v>
      </c>
    </row>
    <row r="25" spans="2:5" x14ac:dyDescent="0.25">
      <c r="B25" s="45"/>
      <c r="C25" s="47"/>
      <c r="D25" t="e">
        <f>Condutores!S26</f>
        <v>#DIV/0!</v>
      </c>
      <c r="E25" s="62">
        <f>Condutores!I26</f>
        <v>0</v>
      </c>
    </row>
    <row r="26" spans="2:5" x14ac:dyDescent="0.25">
      <c r="B26" s="45"/>
      <c r="C26" s="47"/>
      <c r="D26" t="e">
        <f>Condutores!S27</f>
        <v>#DIV/0!</v>
      </c>
      <c r="E26" s="62">
        <f>Condutores!I27</f>
        <v>0</v>
      </c>
    </row>
    <row r="27" spans="2:5" x14ac:dyDescent="0.25">
      <c r="B27" s="45"/>
      <c r="C27" s="47"/>
      <c r="D27" t="e">
        <f>Condutores!S28</f>
        <v>#DIV/0!</v>
      </c>
      <c r="E27" s="62">
        <f>Condutores!I28</f>
        <v>0</v>
      </c>
    </row>
    <row r="28" spans="2:5" x14ac:dyDescent="0.25">
      <c r="B28" s="45"/>
      <c r="C28" s="47"/>
      <c r="D28" t="e">
        <f>Condutores!S29</f>
        <v>#DIV/0!</v>
      </c>
      <c r="E28" s="62">
        <f>Condutores!I29</f>
        <v>0</v>
      </c>
    </row>
    <row r="29" spans="2:5" x14ac:dyDescent="0.25">
      <c r="B29" s="45"/>
      <c r="C29" s="47"/>
      <c r="D29" t="e">
        <f>Condutores!S30</f>
        <v>#DIV/0!</v>
      </c>
      <c r="E29" s="62">
        <f>Condutores!I30</f>
        <v>0</v>
      </c>
    </row>
    <row r="30" spans="2:5" x14ac:dyDescent="0.25">
      <c r="B30" s="45"/>
      <c r="C30" s="47"/>
      <c r="D30" t="e">
        <f>Condutores!S31</f>
        <v>#DIV/0!</v>
      </c>
      <c r="E30" s="62">
        <f>Condutores!I31</f>
        <v>0</v>
      </c>
    </row>
    <row r="31" spans="2:5" x14ac:dyDescent="0.25">
      <c r="B31" s="45"/>
      <c r="C31" s="47"/>
      <c r="D31" t="e">
        <f>Condutores!S32</f>
        <v>#DIV/0!</v>
      </c>
      <c r="E31" s="62">
        <f>Condutores!I32</f>
        <v>0</v>
      </c>
    </row>
    <row r="32" spans="2:5" x14ac:dyDescent="0.25">
      <c r="B32" s="45"/>
      <c r="C32" s="47"/>
      <c r="D32" t="e">
        <f>Condutores!S33</f>
        <v>#DIV/0!</v>
      </c>
      <c r="E32" s="62">
        <f>Condutores!I33</f>
        <v>0</v>
      </c>
    </row>
    <row r="33" spans="2:5" x14ac:dyDescent="0.25">
      <c r="B33" s="45"/>
      <c r="C33" s="47"/>
      <c r="D33" t="e">
        <f>Condutores!S34</f>
        <v>#DIV/0!</v>
      </c>
      <c r="E33" s="62">
        <f>Condutores!I34</f>
        <v>0</v>
      </c>
    </row>
    <row r="34" spans="2:5" x14ac:dyDescent="0.25">
      <c r="B34" s="45"/>
      <c r="C34" s="47"/>
      <c r="D34" t="e">
        <f>Condutores!S35</f>
        <v>#DIV/0!</v>
      </c>
      <c r="E34" s="62">
        <f>Condutores!I35</f>
        <v>0</v>
      </c>
    </row>
    <row r="35" spans="2:5" x14ac:dyDescent="0.25">
      <c r="B35" s="45"/>
      <c r="C35" s="47"/>
      <c r="D35" t="e">
        <f>Condutores!S36</f>
        <v>#DIV/0!</v>
      </c>
      <c r="E35" s="62">
        <f>Condutores!I36</f>
        <v>0</v>
      </c>
    </row>
    <row r="36" spans="2:5" x14ac:dyDescent="0.25">
      <c r="B36" s="45"/>
      <c r="C36" s="47"/>
      <c r="D36" t="e">
        <f>Condutores!S37</f>
        <v>#DIV/0!</v>
      </c>
      <c r="E36" s="62">
        <f>Condutores!I37</f>
        <v>0</v>
      </c>
    </row>
    <row r="37" spans="2:5" x14ac:dyDescent="0.25">
      <c r="B37" s="45"/>
      <c r="C37" s="47"/>
      <c r="D37" t="e">
        <f>Condutores!S38</f>
        <v>#DIV/0!</v>
      </c>
      <c r="E37" s="62">
        <f>Condutores!I38</f>
        <v>0</v>
      </c>
    </row>
    <row r="38" spans="2:5" x14ac:dyDescent="0.25">
      <c r="B38" s="45"/>
      <c r="C38" s="47"/>
      <c r="D38" t="e">
        <f>Condutores!S39</f>
        <v>#DIV/0!</v>
      </c>
      <c r="E38" s="62">
        <f>Condutores!I39</f>
        <v>0</v>
      </c>
    </row>
    <row r="39" spans="2:5" x14ac:dyDescent="0.25">
      <c r="B39" s="45"/>
      <c r="C39" s="47"/>
      <c r="D39" t="e">
        <f>Condutores!S40</f>
        <v>#DIV/0!</v>
      </c>
      <c r="E39" s="62">
        <f>Condutores!I40</f>
        <v>0</v>
      </c>
    </row>
    <row r="40" spans="2:5" x14ac:dyDescent="0.25">
      <c r="B40" s="45"/>
      <c r="C40" s="47"/>
      <c r="D40" t="e">
        <f>Condutores!S41</f>
        <v>#DIV/0!</v>
      </c>
      <c r="E40" s="62">
        <f>Condutores!I41</f>
        <v>0</v>
      </c>
    </row>
    <row r="41" spans="2:5" x14ac:dyDescent="0.25">
      <c r="B41" s="45"/>
      <c r="C41" s="47"/>
      <c r="D41" t="e">
        <f>Condutores!S42</f>
        <v>#DIV/0!</v>
      </c>
      <c r="E41" s="62">
        <f>Condutores!I42</f>
        <v>0</v>
      </c>
    </row>
    <row r="42" spans="2:5" x14ac:dyDescent="0.25">
      <c r="B42" s="45"/>
      <c r="C42" s="47"/>
      <c r="D42" t="e">
        <f>Condutores!S43</f>
        <v>#DIV/0!</v>
      </c>
      <c r="E42" s="62">
        <f>Condutores!I43</f>
        <v>0</v>
      </c>
    </row>
    <row r="43" spans="2:5" x14ac:dyDescent="0.25">
      <c r="B43" s="45"/>
      <c r="C43" s="47"/>
      <c r="D43" t="e">
        <f>Condutores!S44</f>
        <v>#DIV/0!</v>
      </c>
      <c r="E43" s="62">
        <f>Condutores!I44</f>
        <v>0</v>
      </c>
    </row>
    <row r="44" spans="2:5" x14ac:dyDescent="0.25">
      <c r="B44" s="45"/>
      <c r="C44" s="47"/>
      <c r="D44" t="e">
        <f>Condutores!S45</f>
        <v>#DIV/0!</v>
      </c>
      <c r="E44" s="62">
        <f>Condutores!I45</f>
        <v>0</v>
      </c>
    </row>
    <row r="45" spans="2:5" x14ac:dyDescent="0.25">
      <c r="B45" s="45"/>
      <c r="C45" s="47"/>
      <c r="D45" t="e">
        <f>Condutores!S46</f>
        <v>#DIV/0!</v>
      </c>
      <c r="E45" s="62">
        <f>Condutores!I46</f>
        <v>0</v>
      </c>
    </row>
    <row r="46" spans="2:5" x14ac:dyDescent="0.25">
      <c r="B46" s="45"/>
      <c r="C46" s="47"/>
      <c r="D46" t="e">
        <f>Condutores!S47</f>
        <v>#DIV/0!</v>
      </c>
      <c r="E46" s="62">
        <f>Condutores!I47</f>
        <v>0</v>
      </c>
    </row>
    <row r="47" spans="2:5" x14ac:dyDescent="0.25">
      <c r="B47" s="45"/>
      <c r="C47" s="47"/>
      <c r="D47" t="e">
        <f>Condutores!S48</f>
        <v>#DIV/0!</v>
      </c>
      <c r="E47" s="62">
        <f>Condutores!I48</f>
        <v>0</v>
      </c>
    </row>
    <row r="48" spans="2:5" x14ac:dyDescent="0.25">
      <c r="B48" s="45"/>
      <c r="C48" s="47"/>
      <c r="D48" t="e">
        <f>Condutores!S49</f>
        <v>#DIV/0!</v>
      </c>
      <c r="E48" s="62">
        <f>Condutores!I49</f>
        <v>0</v>
      </c>
    </row>
    <row r="49" spans="2:5" x14ac:dyDescent="0.25">
      <c r="B49" s="45"/>
      <c r="C49" s="47"/>
      <c r="D49" t="e">
        <f>Condutores!S50</f>
        <v>#DIV/0!</v>
      </c>
      <c r="E49" s="62">
        <f>Condutores!I50</f>
        <v>0</v>
      </c>
    </row>
    <row r="50" spans="2:5" x14ac:dyDescent="0.25">
      <c r="B50" s="45"/>
      <c r="C50" s="47"/>
      <c r="D50" t="e">
        <f>Condutores!S51</f>
        <v>#DIV/0!</v>
      </c>
      <c r="E50" s="62">
        <f>Condutores!I51</f>
        <v>0</v>
      </c>
    </row>
    <row r="51" spans="2:5" x14ac:dyDescent="0.25">
      <c r="B51" s="45"/>
      <c r="C51" s="47"/>
      <c r="D51" t="e">
        <f>Condutores!S52</f>
        <v>#DIV/0!</v>
      </c>
      <c r="E51" s="62">
        <f>Condutores!I52</f>
        <v>0</v>
      </c>
    </row>
    <row r="52" spans="2:5" x14ac:dyDescent="0.25">
      <c r="B52" s="45"/>
      <c r="C52" s="47"/>
      <c r="D52" t="e">
        <f>Condutores!S53</f>
        <v>#DIV/0!</v>
      </c>
      <c r="E52" s="62">
        <f>Condutores!I53</f>
        <v>0</v>
      </c>
    </row>
    <row r="53" spans="2:5" x14ac:dyDescent="0.25">
      <c r="B53" s="45"/>
      <c r="C53" s="47"/>
      <c r="D53" t="e">
        <f>Condutores!S54</f>
        <v>#DIV/0!</v>
      </c>
      <c r="E53" s="62">
        <f>Condutores!I54</f>
        <v>0</v>
      </c>
    </row>
    <row r="54" spans="2:5" x14ac:dyDescent="0.25">
      <c r="B54" s="45"/>
      <c r="C54" s="47"/>
      <c r="D54" t="e">
        <f>Condutores!S55</f>
        <v>#DIV/0!</v>
      </c>
      <c r="E54" s="62">
        <f>Condutores!I55</f>
        <v>0</v>
      </c>
    </row>
    <row r="55" spans="2:5" x14ac:dyDescent="0.25">
      <c r="B55" s="45"/>
      <c r="C55" s="47"/>
      <c r="D55" t="e">
        <f>Condutores!S56</f>
        <v>#DIV/0!</v>
      </c>
      <c r="E55" s="62">
        <f>Condutores!I56</f>
        <v>0</v>
      </c>
    </row>
    <row r="56" spans="2:5" x14ac:dyDescent="0.25">
      <c r="B56" s="45"/>
      <c r="C56" s="47"/>
      <c r="D56" t="e">
        <f>Condutores!S57</f>
        <v>#DIV/0!</v>
      </c>
      <c r="E56" s="62">
        <f>Condutores!I57</f>
        <v>0</v>
      </c>
    </row>
    <row r="57" spans="2:5" x14ac:dyDescent="0.25">
      <c r="B57" s="45"/>
      <c r="C57" s="47"/>
      <c r="D57" t="e">
        <f>Condutores!S58</f>
        <v>#DIV/0!</v>
      </c>
      <c r="E57" s="62">
        <f>Condutores!I58</f>
        <v>0</v>
      </c>
    </row>
    <row r="58" spans="2:5" x14ac:dyDescent="0.25">
      <c r="B58" s="45"/>
      <c r="C58" s="47"/>
      <c r="D58" t="e">
        <f>Condutores!S59</f>
        <v>#DIV/0!</v>
      </c>
      <c r="E58" s="62">
        <f>Condutores!I59</f>
        <v>0</v>
      </c>
    </row>
    <row r="59" spans="2:5" x14ac:dyDescent="0.25">
      <c r="B59" s="45"/>
      <c r="C59" s="47"/>
      <c r="D59" t="e">
        <f>Condutores!S60</f>
        <v>#DIV/0!</v>
      </c>
      <c r="E59" s="62">
        <f>Condutores!I60</f>
        <v>0</v>
      </c>
    </row>
    <row r="60" spans="2:5" x14ac:dyDescent="0.25">
      <c r="B60" s="45"/>
      <c r="C60" s="47"/>
      <c r="D60" t="e">
        <f>Condutores!S61</f>
        <v>#DIV/0!</v>
      </c>
      <c r="E60" s="62">
        <f>Condutores!I61</f>
        <v>0</v>
      </c>
    </row>
    <row r="61" spans="2:5" x14ac:dyDescent="0.25">
      <c r="B61" s="45"/>
      <c r="C61" s="47"/>
      <c r="D61" t="e">
        <f>Condutores!S62</f>
        <v>#DIV/0!</v>
      </c>
      <c r="E61" s="62">
        <f>Condutores!I62</f>
        <v>0</v>
      </c>
    </row>
    <row r="62" spans="2:5" x14ac:dyDescent="0.25">
      <c r="B62" s="45"/>
      <c r="C62" s="47"/>
      <c r="D62" t="e">
        <f>Condutores!S63</f>
        <v>#DIV/0!</v>
      </c>
      <c r="E62" s="62">
        <f>Condutores!I63</f>
        <v>0</v>
      </c>
    </row>
    <row r="63" spans="2:5" x14ac:dyDescent="0.25">
      <c r="B63" s="45"/>
      <c r="C63" s="47"/>
      <c r="D63" t="e">
        <f>Condutores!S64</f>
        <v>#DIV/0!</v>
      </c>
      <c r="E63" s="62">
        <f>Condutores!I64</f>
        <v>0</v>
      </c>
    </row>
    <row r="64" spans="2:5" x14ac:dyDescent="0.25">
      <c r="B64" s="45"/>
      <c r="C64" s="47"/>
      <c r="D64" t="e">
        <f>Condutores!S65</f>
        <v>#DIV/0!</v>
      </c>
      <c r="E64" s="62">
        <f>Condutores!I65</f>
        <v>0</v>
      </c>
    </row>
    <row r="65" spans="2:5" x14ac:dyDescent="0.25">
      <c r="B65" s="45"/>
      <c r="C65" s="47"/>
      <c r="D65" t="e">
        <f>Condutores!S66</f>
        <v>#DIV/0!</v>
      </c>
      <c r="E65" s="62">
        <f>Condutores!I66</f>
        <v>0</v>
      </c>
    </row>
    <row r="66" spans="2:5" x14ac:dyDescent="0.25">
      <c r="B66" s="45"/>
      <c r="C66" s="47"/>
      <c r="D66" t="e">
        <f>Condutores!S67</f>
        <v>#DIV/0!</v>
      </c>
      <c r="E66" s="62">
        <f>Condutores!I67</f>
        <v>0</v>
      </c>
    </row>
    <row r="67" spans="2:5" x14ac:dyDescent="0.25">
      <c r="B67" s="45"/>
      <c r="C67" s="47"/>
      <c r="D67" t="e">
        <f>Condutores!S68</f>
        <v>#DIV/0!</v>
      </c>
      <c r="E67" s="62">
        <f>Condutores!I68</f>
        <v>0</v>
      </c>
    </row>
    <row r="68" spans="2:5" x14ac:dyDescent="0.25">
      <c r="B68" s="45"/>
      <c r="C68" s="47"/>
      <c r="D68" t="e">
        <f>Condutores!S69</f>
        <v>#DIV/0!</v>
      </c>
      <c r="E68" s="62">
        <f>Condutores!I69</f>
        <v>0</v>
      </c>
    </row>
    <row r="69" spans="2:5" x14ac:dyDescent="0.25">
      <c r="B69" s="45"/>
      <c r="C69" s="47"/>
      <c r="D69" t="e">
        <f>Condutores!S70</f>
        <v>#DIV/0!</v>
      </c>
      <c r="E69" s="62">
        <f>Condutores!I70</f>
        <v>0</v>
      </c>
    </row>
    <row r="70" spans="2:5" x14ac:dyDescent="0.25">
      <c r="B70" s="45"/>
      <c r="C70" s="47"/>
      <c r="D70" t="e">
        <f>Condutores!S71</f>
        <v>#DIV/0!</v>
      </c>
      <c r="E70" s="62">
        <f>Condutores!I71</f>
        <v>0</v>
      </c>
    </row>
    <row r="71" spans="2:5" x14ac:dyDescent="0.25">
      <c r="B71" s="45"/>
      <c r="C71" s="47"/>
      <c r="D71" t="e">
        <f>Condutores!S72</f>
        <v>#DIV/0!</v>
      </c>
      <c r="E71" s="62">
        <f>Condutores!I72</f>
        <v>0</v>
      </c>
    </row>
    <row r="72" spans="2:5" x14ac:dyDescent="0.25">
      <c r="B72" s="45"/>
      <c r="C72" s="47"/>
      <c r="D72" t="e">
        <f>Condutores!S73</f>
        <v>#DIV/0!</v>
      </c>
      <c r="E72" s="62">
        <f>Condutores!I73</f>
        <v>0</v>
      </c>
    </row>
    <row r="73" spans="2:5" x14ac:dyDescent="0.25">
      <c r="B73" s="45"/>
      <c r="C73" s="47"/>
      <c r="D73" t="e">
        <f>Condutores!S74</f>
        <v>#DIV/0!</v>
      </c>
      <c r="E73" s="62">
        <f>Condutores!I74</f>
        <v>0</v>
      </c>
    </row>
    <row r="74" spans="2:5" x14ac:dyDescent="0.25">
      <c r="B74" s="45"/>
      <c r="C74" s="47"/>
      <c r="D74" t="e">
        <f>Condutores!S75</f>
        <v>#DIV/0!</v>
      </c>
      <c r="E74" s="62">
        <f>Condutores!I75</f>
        <v>0</v>
      </c>
    </row>
    <row r="75" spans="2:5" x14ac:dyDescent="0.25">
      <c r="B75" s="45"/>
      <c r="C75" s="47"/>
      <c r="D75" t="e">
        <f>Condutores!S76</f>
        <v>#DIV/0!</v>
      </c>
      <c r="E75" s="62">
        <f>Condutores!I76</f>
        <v>0</v>
      </c>
    </row>
    <row r="76" spans="2:5" x14ac:dyDescent="0.25">
      <c r="B76" s="45"/>
      <c r="C76" s="47"/>
      <c r="D76" t="e">
        <f>Condutores!S77</f>
        <v>#DIV/0!</v>
      </c>
      <c r="E76" s="62">
        <f>Condutores!I77</f>
        <v>0</v>
      </c>
    </row>
    <row r="77" spans="2:5" x14ac:dyDescent="0.25">
      <c r="B77" s="45"/>
      <c r="C77" s="47"/>
      <c r="D77" t="e">
        <f>Condutores!S78</f>
        <v>#DIV/0!</v>
      </c>
      <c r="E77" s="62">
        <f>Condutores!I78</f>
        <v>0</v>
      </c>
    </row>
    <row r="78" spans="2:5" x14ac:dyDescent="0.25">
      <c r="B78" s="45"/>
      <c r="C78" s="47"/>
      <c r="D78" t="e">
        <f>Condutores!S79</f>
        <v>#DIV/0!</v>
      </c>
      <c r="E78" s="62">
        <f>Condutores!I79</f>
        <v>0</v>
      </c>
    </row>
    <row r="79" spans="2:5" x14ac:dyDescent="0.25">
      <c r="B79" s="45"/>
      <c r="C79" s="47"/>
      <c r="D79" t="e">
        <f>Condutores!S80</f>
        <v>#DIV/0!</v>
      </c>
      <c r="E79" s="62">
        <f>Condutores!I80</f>
        <v>0</v>
      </c>
    </row>
    <row r="80" spans="2:5" x14ac:dyDescent="0.25">
      <c r="B80" s="45"/>
      <c r="C80" s="47"/>
      <c r="D80" t="e">
        <f>Condutores!S81</f>
        <v>#DIV/0!</v>
      </c>
      <c r="E80" s="62">
        <f>Condutores!I81</f>
        <v>0</v>
      </c>
    </row>
    <row r="81" spans="2:5" x14ac:dyDescent="0.25">
      <c r="B81" s="45"/>
      <c r="C81" s="47"/>
      <c r="D81" t="e">
        <f>Condutores!S82</f>
        <v>#DIV/0!</v>
      </c>
      <c r="E81" s="62">
        <f>Condutores!I82</f>
        <v>0</v>
      </c>
    </row>
    <row r="82" spans="2:5" x14ac:dyDescent="0.25">
      <c r="B82" s="45"/>
      <c r="C82" s="47"/>
      <c r="D82" t="e">
        <f>Condutores!S83</f>
        <v>#DIV/0!</v>
      </c>
      <c r="E82" s="62">
        <f>Condutores!I83</f>
        <v>0</v>
      </c>
    </row>
    <row r="83" spans="2:5" x14ac:dyDescent="0.25">
      <c r="B83" s="45"/>
      <c r="C83" s="47"/>
      <c r="D83" t="e">
        <f>Condutores!S84</f>
        <v>#DIV/0!</v>
      </c>
      <c r="E83" s="62">
        <f>Condutores!I84</f>
        <v>0</v>
      </c>
    </row>
    <row r="84" spans="2:5" x14ac:dyDescent="0.25">
      <c r="B84" s="45"/>
      <c r="C84" s="47"/>
      <c r="D84" t="e">
        <f>Condutores!S85</f>
        <v>#DIV/0!</v>
      </c>
      <c r="E84" s="62">
        <f>Condutores!I85</f>
        <v>0</v>
      </c>
    </row>
    <row r="85" spans="2:5" x14ac:dyDescent="0.25">
      <c r="B85" s="45"/>
      <c r="C85" s="47"/>
      <c r="D85" t="e">
        <f>Condutores!S86</f>
        <v>#DIV/0!</v>
      </c>
      <c r="E85" s="62">
        <f>Condutores!I86</f>
        <v>0</v>
      </c>
    </row>
    <row r="86" spans="2:5" x14ac:dyDescent="0.25">
      <c r="B86" s="45"/>
      <c r="C86" s="47"/>
      <c r="D86" t="e">
        <f>Condutores!S87</f>
        <v>#DIV/0!</v>
      </c>
      <c r="E86" s="62">
        <f>Condutores!I87</f>
        <v>0</v>
      </c>
    </row>
    <row r="87" spans="2:5" x14ac:dyDescent="0.25">
      <c r="B87" s="45"/>
      <c r="C87" s="47"/>
      <c r="D87" t="e">
        <f>Condutores!S88</f>
        <v>#DIV/0!</v>
      </c>
      <c r="E87" s="62">
        <f>Condutores!I88</f>
        <v>0</v>
      </c>
    </row>
    <row r="88" spans="2:5" x14ac:dyDescent="0.25">
      <c r="B88" s="45"/>
      <c r="C88" s="47"/>
      <c r="D88" t="e">
        <f>Condutores!S89</f>
        <v>#DIV/0!</v>
      </c>
      <c r="E88" s="62">
        <f>Condutores!I89</f>
        <v>0</v>
      </c>
    </row>
    <row r="89" spans="2:5" x14ac:dyDescent="0.25">
      <c r="B89" s="45"/>
      <c r="C89" s="47"/>
      <c r="D89" t="e">
        <f>Condutores!S90</f>
        <v>#DIV/0!</v>
      </c>
      <c r="E89" s="62">
        <f>Condutores!I90</f>
        <v>0</v>
      </c>
    </row>
    <row r="90" spans="2:5" x14ac:dyDescent="0.25">
      <c r="B90" s="45"/>
      <c r="C90" s="47"/>
      <c r="D90" t="e">
        <f>Condutores!S91</f>
        <v>#DIV/0!</v>
      </c>
      <c r="E90" s="62">
        <f>Condutores!I91</f>
        <v>0</v>
      </c>
    </row>
    <row r="91" spans="2:5" x14ac:dyDescent="0.25">
      <c r="B91" s="45"/>
      <c r="C91" s="47"/>
      <c r="D91" t="e">
        <f>Condutores!S92</f>
        <v>#DIV/0!</v>
      </c>
      <c r="E91" s="62">
        <f>Condutores!I92</f>
        <v>0</v>
      </c>
    </row>
    <row r="92" spans="2:5" x14ac:dyDescent="0.25">
      <c r="B92" s="45"/>
      <c r="C92" s="47"/>
      <c r="D92" t="e">
        <f>Condutores!S93</f>
        <v>#DIV/0!</v>
      </c>
      <c r="E92" s="62">
        <f>Condutores!I93</f>
        <v>0</v>
      </c>
    </row>
    <row r="93" spans="2:5" x14ac:dyDescent="0.25">
      <c r="B93" s="45"/>
      <c r="C93" s="47"/>
      <c r="D93" t="e">
        <f>Condutores!S94</f>
        <v>#DIV/0!</v>
      </c>
      <c r="E93" s="62">
        <f>Condutores!I94</f>
        <v>0</v>
      </c>
    </row>
    <row r="94" spans="2:5" x14ac:dyDescent="0.25">
      <c r="B94" s="45"/>
      <c r="C94" s="47"/>
      <c r="D94" t="e">
        <f>Condutores!S95</f>
        <v>#DIV/0!</v>
      </c>
      <c r="E94" s="62">
        <f>Condutores!I95</f>
        <v>0</v>
      </c>
    </row>
    <row r="95" spans="2:5" x14ac:dyDescent="0.25">
      <c r="B95" s="45"/>
      <c r="C95" s="47"/>
      <c r="D95" t="e">
        <f>Condutores!S96</f>
        <v>#DIV/0!</v>
      </c>
      <c r="E95" s="62">
        <f>Condutores!I96</f>
        <v>0</v>
      </c>
    </row>
    <row r="96" spans="2:5" x14ac:dyDescent="0.25">
      <c r="B96" s="45"/>
      <c r="C96" s="47"/>
      <c r="D96" t="e">
        <f>Condutores!S97</f>
        <v>#DIV/0!</v>
      </c>
      <c r="E96" s="62">
        <f>Condutores!I97</f>
        <v>0</v>
      </c>
    </row>
    <row r="97" spans="2:5" x14ac:dyDescent="0.25">
      <c r="B97" s="45"/>
      <c r="C97" s="47"/>
      <c r="D97" t="e">
        <f>Condutores!S98</f>
        <v>#DIV/0!</v>
      </c>
      <c r="E97" s="62">
        <f>Condutores!I98</f>
        <v>0</v>
      </c>
    </row>
    <row r="98" spans="2:5" x14ac:dyDescent="0.25">
      <c r="B98" s="45"/>
      <c r="C98" s="47"/>
      <c r="D98" t="e">
        <f>Condutores!S99</f>
        <v>#DIV/0!</v>
      </c>
      <c r="E98" s="62">
        <f>Condutores!I99</f>
        <v>0</v>
      </c>
    </row>
    <row r="99" spans="2:5" x14ac:dyDescent="0.25">
      <c r="B99" s="45"/>
      <c r="C99" s="47"/>
      <c r="D99" t="e">
        <f>Condutores!S100</f>
        <v>#DIV/0!</v>
      </c>
      <c r="E99" s="62">
        <f>Condutores!I100</f>
        <v>0</v>
      </c>
    </row>
    <row r="100" spans="2:5" x14ac:dyDescent="0.25">
      <c r="B100" s="45"/>
      <c r="C100" s="47"/>
      <c r="D100" t="e">
        <f>Condutores!S101</f>
        <v>#DIV/0!</v>
      </c>
      <c r="E100" s="62">
        <f>Condutores!I101</f>
        <v>0</v>
      </c>
    </row>
    <row r="101" spans="2:5" x14ac:dyDescent="0.25">
      <c r="B101" s="45"/>
      <c r="C101" s="47"/>
      <c r="D101" t="e">
        <f>Condutores!S102</f>
        <v>#DIV/0!</v>
      </c>
      <c r="E101" s="62">
        <f>Condutores!I102</f>
        <v>0</v>
      </c>
    </row>
    <row r="102" spans="2:5" x14ac:dyDescent="0.25">
      <c r="B102" s="45"/>
      <c r="C102" s="47"/>
      <c r="D102" t="e">
        <f>Condutores!S103</f>
        <v>#DIV/0!</v>
      </c>
      <c r="E102" s="62">
        <f>Condutores!I103</f>
        <v>0</v>
      </c>
    </row>
    <row r="103" spans="2:5" x14ac:dyDescent="0.25">
      <c r="B103" s="45"/>
      <c r="C103" s="47"/>
      <c r="D103" t="e">
        <f>Condutores!S104</f>
        <v>#DIV/0!</v>
      </c>
      <c r="E103" s="62">
        <f>Condutores!I104</f>
        <v>0</v>
      </c>
    </row>
    <row r="104" spans="2:5" x14ac:dyDescent="0.25">
      <c r="B104" s="45"/>
      <c r="C104" s="47"/>
      <c r="D104" t="e">
        <f>Condutores!S105</f>
        <v>#DIV/0!</v>
      </c>
      <c r="E104" s="62">
        <f>Condutores!I105</f>
        <v>0</v>
      </c>
    </row>
    <row r="105" spans="2:5" x14ac:dyDescent="0.25">
      <c r="B105" s="45"/>
      <c r="C105" s="47"/>
      <c r="D105" t="e">
        <f>Condutores!S106</f>
        <v>#DIV/0!</v>
      </c>
      <c r="E105" s="62">
        <f>Condutores!I106</f>
        <v>0</v>
      </c>
    </row>
    <row r="106" spans="2:5" x14ac:dyDescent="0.25">
      <c r="B106" s="45"/>
      <c r="C106" s="47"/>
      <c r="D106" t="e">
        <f>Condutores!S107</f>
        <v>#DIV/0!</v>
      </c>
      <c r="E106" s="62">
        <f>Condutores!I107</f>
        <v>0</v>
      </c>
    </row>
    <row r="107" spans="2:5" x14ac:dyDescent="0.25">
      <c r="B107" s="45"/>
      <c r="C107" s="47"/>
      <c r="D107" t="e">
        <f>Condutores!S108</f>
        <v>#DIV/0!</v>
      </c>
      <c r="E107" s="62">
        <f>Condutores!I108</f>
        <v>0</v>
      </c>
    </row>
    <row r="108" spans="2:5" x14ac:dyDescent="0.25">
      <c r="B108" s="45"/>
      <c r="C108" s="47"/>
      <c r="D108" t="e">
        <f>Condutores!S109</f>
        <v>#DIV/0!</v>
      </c>
      <c r="E108" s="62">
        <f>Condutores!I109</f>
        <v>0</v>
      </c>
    </row>
    <row r="109" spans="2:5" x14ac:dyDescent="0.25">
      <c r="B109" s="45"/>
      <c r="C109" s="47"/>
      <c r="D109" t="e">
        <f>Condutores!S110</f>
        <v>#DIV/0!</v>
      </c>
      <c r="E109" s="62">
        <f>Condutores!I110</f>
        <v>0</v>
      </c>
    </row>
    <row r="110" spans="2:5" x14ac:dyDescent="0.25">
      <c r="B110" s="45"/>
      <c r="C110" s="47"/>
      <c r="D110" t="e">
        <f>Condutores!S111</f>
        <v>#DIV/0!</v>
      </c>
      <c r="E110" s="62">
        <f>Condutores!I111</f>
        <v>0</v>
      </c>
    </row>
    <row r="111" spans="2:5" x14ac:dyDescent="0.25">
      <c r="B111" s="45"/>
      <c r="C111" s="47"/>
      <c r="D111" t="e">
        <f>Condutores!S112</f>
        <v>#DIV/0!</v>
      </c>
      <c r="E111" s="62">
        <f>Condutores!I112</f>
        <v>0</v>
      </c>
    </row>
    <row r="112" spans="2:5" x14ac:dyDescent="0.25">
      <c r="B112" s="45"/>
      <c r="C112" s="47"/>
      <c r="D112" t="e">
        <f>Condutores!S113</f>
        <v>#DIV/0!</v>
      </c>
      <c r="E112" s="62">
        <f>Condutores!I113</f>
        <v>0</v>
      </c>
    </row>
    <row r="113" spans="2:5" x14ac:dyDescent="0.25">
      <c r="B113" s="45"/>
      <c r="C113" s="47"/>
      <c r="D113" t="e">
        <f>Condutores!S114</f>
        <v>#DIV/0!</v>
      </c>
      <c r="E113" s="62">
        <f>Condutores!I114</f>
        <v>0</v>
      </c>
    </row>
    <row r="114" spans="2:5" x14ac:dyDescent="0.25">
      <c r="B114" s="45"/>
      <c r="C114" s="47"/>
      <c r="D114" t="e">
        <f>Condutores!S115</f>
        <v>#DIV/0!</v>
      </c>
      <c r="E114" s="62">
        <f>Condutores!I115</f>
        <v>0</v>
      </c>
    </row>
    <row r="115" spans="2:5" x14ac:dyDescent="0.25">
      <c r="B115" s="45"/>
      <c r="C115" s="47"/>
      <c r="D115" t="e">
        <f>Condutores!S116</f>
        <v>#DIV/0!</v>
      </c>
      <c r="E115" s="62">
        <f>Condutores!I116</f>
        <v>0</v>
      </c>
    </row>
    <row r="116" spans="2:5" x14ac:dyDescent="0.25">
      <c r="B116" s="45"/>
      <c r="C116" s="47"/>
      <c r="D116" t="e">
        <f>Condutores!S117</f>
        <v>#DIV/0!</v>
      </c>
      <c r="E116" s="62">
        <f>Condutores!I117</f>
        <v>0</v>
      </c>
    </row>
    <row r="117" spans="2:5" x14ac:dyDescent="0.25">
      <c r="B117" s="45"/>
      <c r="C117" s="47"/>
      <c r="D117" t="e">
        <f>Condutores!S118</f>
        <v>#DIV/0!</v>
      </c>
      <c r="E117" s="62">
        <f>Condutores!I118</f>
        <v>0</v>
      </c>
    </row>
    <row r="118" spans="2:5" x14ac:dyDescent="0.25">
      <c r="B118" s="45"/>
      <c r="C118" s="47"/>
      <c r="D118" t="e">
        <f>Condutores!S119</f>
        <v>#DIV/0!</v>
      </c>
      <c r="E118" s="62">
        <f>Condutores!I119</f>
        <v>0</v>
      </c>
    </row>
    <row r="119" spans="2:5" x14ac:dyDescent="0.25">
      <c r="B119" s="45"/>
      <c r="C119" s="47"/>
      <c r="D119" t="e">
        <f>Condutores!S120</f>
        <v>#DIV/0!</v>
      </c>
      <c r="E119" s="62">
        <f>Condutores!I120</f>
        <v>0</v>
      </c>
    </row>
    <row r="120" spans="2:5" x14ac:dyDescent="0.25">
      <c r="B120" s="45"/>
      <c r="C120" s="47"/>
      <c r="D120" t="e">
        <f>Condutores!S121</f>
        <v>#DIV/0!</v>
      </c>
      <c r="E120" s="62">
        <f>Condutores!I121</f>
        <v>0</v>
      </c>
    </row>
    <row r="121" spans="2:5" x14ac:dyDescent="0.25">
      <c r="B121" s="45"/>
      <c r="C121" s="47"/>
      <c r="D121" t="e">
        <f>Condutores!S122</f>
        <v>#DIV/0!</v>
      </c>
      <c r="E121" s="62">
        <f>Condutores!I122</f>
        <v>0</v>
      </c>
    </row>
    <row r="122" spans="2:5" x14ac:dyDescent="0.25">
      <c r="B122" s="45"/>
      <c r="C122" s="47"/>
      <c r="D122" t="e">
        <f>Condutores!S123</f>
        <v>#DIV/0!</v>
      </c>
      <c r="E122" s="62">
        <f>Condutores!I123</f>
        <v>0</v>
      </c>
    </row>
    <row r="123" spans="2:5" x14ac:dyDescent="0.25">
      <c r="B123" s="45"/>
      <c r="C123" s="47"/>
      <c r="D123" t="e">
        <f>Condutores!S124</f>
        <v>#DIV/0!</v>
      </c>
      <c r="E123" s="62">
        <f>Condutores!I124</f>
        <v>0</v>
      </c>
    </row>
    <row r="124" spans="2:5" x14ac:dyDescent="0.25">
      <c r="B124" s="45"/>
      <c r="C124" s="47"/>
      <c r="D124" t="e">
        <f>Condutores!S125</f>
        <v>#DIV/0!</v>
      </c>
      <c r="E124" s="62">
        <f>Condutores!I125</f>
        <v>0</v>
      </c>
    </row>
    <row r="125" spans="2:5" x14ac:dyDescent="0.25">
      <c r="B125" s="45"/>
      <c r="C125" s="47"/>
      <c r="D125" t="e">
        <f>Condutores!S126</f>
        <v>#DIV/0!</v>
      </c>
      <c r="E125" s="62">
        <f>Condutores!I126</f>
        <v>0</v>
      </c>
    </row>
    <row r="126" spans="2:5" x14ac:dyDescent="0.25">
      <c r="B126" s="45"/>
      <c r="C126" s="47"/>
      <c r="D126" t="e">
        <f>Condutores!S127</f>
        <v>#DIV/0!</v>
      </c>
      <c r="E126" s="62">
        <f>Condutores!I127</f>
        <v>0</v>
      </c>
    </row>
    <row r="127" spans="2:5" x14ac:dyDescent="0.25">
      <c r="B127" s="45"/>
      <c r="C127" s="47"/>
      <c r="D127" t="e">
        <f>Condutores!S128</f>
        <v>#DIV/0!</v>
      </c>
      <c r="E127" s="62">
        <f>Condutores!I128</f>
        <v>0</v>
      </c>
    </row>
    <row r="128" spans="2:5" x14ac:dyDescent="0.25">
      <c r="B128" s="45"/>
      <c r="C128" s="47"/>
      <c r="D128" t="e">
        <f>Condutores!S129</f>
        <v>#DIV/0!</v>
      </c>
      <c r="E128" s="62">
        <f>Condutores!I129</f>
        <v>0</v>
      </c>
    </row>
    <row r="129" spans="2:5" x14ac:dyDescent="0.25">
      <c r="B129" s="45"/>
      <c r="C129" s="47"/>
      <c r="D129" t="e">
        <f>Condutores!S130</f>
        <v>#DIV/0!</v>
      </c>
      <c r="E129" s="62">
        <f>Condutores!I130</f>
        <v>0</v>
      </c>
    </row>
    <row r="130" spans="2:5" x14ac:dyDescent="0.25">
      <c r="B130" s="45"/>
      <c r="C130" s="47"/>
      <c r="D130" t="e">
        <f>Condutores!S131</f>
        <v>#DIV/0!</v>
      </c>
      <c r="E130" s="62">
        <f>Condutores!I131</f>
        <v>0</v>
      </c>
    </row>
    <row r="131" spans="2:5" x14ac:dyDescent="0.25">
      <c r="B131" s="45"/>
      <c r="C131" s="47"/>
      <c r="D131" t="e">
        <f>Condutores!S132</f>
        <v>#DIV/0!</v>
      </c>
      <c r="E131" s="62">
        <f>Condutores!I132</f>
        <v>0</v>
      </c>
    </row>
    <row r="132" spans="2:5" x14ac:dyDescent="0.25">
      <c r="B132" s="45"/>
      <c r="C132" s="47"/>
      <c r="D132" t="e">
        <f>Condutores!S133</f>
        <v>#DIV/0!</v>
      </c>
      <c r="E132" s="62">
        <f>Condutores!I133</f>
        <v>0</v>
      </c>
    </row>
    <row r="133" spans="2:5" x14ac:dyDescent="0.25">
      <c r="B133" s="45"/>
      <c r="C133" s="47"/>
      <c r="D133" t="e">
        <f>Condutores!S134</f>
        <v>#DIV/0!</v>
      </c>
      <c r="E133" s="62">
        <f>Condutores!I134</f>
        <v>0</v>
      </c>
    </row>
    <row r="134" spans="2:5" x14ac:dyDescent="0.25">
      <c r="B134" s="45"/>
      <c r="C134" s="47"/>
      <c r="D134" t="e">
        <f>Condutores!S135</f>
        <v>#DIV/0!</v>
      </c>
      <c r="E134" s="62">
        <f>Condutores!I135</f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!" error="Tensão de alimentação inválida." xr:uid="{87F0B52E-318D-41E5-805F-F2FE46599A17}">
          <x14:formula1>
            <xm:f>Sistema!$K$2:$K$3</xm:f>
          </x14:formula1>
          <xm:sqref>L4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C114-7D81-4690-8217-FA3AFA574CF8}">
  <sheetPr codeName="Planilha4"/>
  <dimension ref="B2:H2"/>
  <sheetViews>
    <sheetView topLeftCell="B1" workbookViewId="0">
      <selection activeCell="B3" sqref="B3"/>
    </sheetView>
  </sheetViews>
  <sheetFormatPr defaultRowHeight="15" x14ac:dyDescent="0.25"/>
  <cols>
    <col min="1" max="1" width="0" hidden="1" customWidth="1"/>
    <col min="2" max="2" width="17.42578125" bestFit="1" customWidth="1"/>
    <col min="3" max="3" width="23.42578125" bestFit="1" customWidth="1"/>
    <col min="4" max="4" width="24" bestFit="1" customWidth="1"/>
    <col min="5" max="5" width="21" bestFit="1" customWidth="1"/>
    <col min="6" max="6" width="22.140625" bestFit="1" customWidth="1"/>
    <col min="7" max="7" width="24.140625" bestFit="1" customWidth="1"/>
    <col min="8" max="8" width="24.28515625" bestFit="1" customWidth="1"/>
  </cols>
  <sheetData>
    <row r="2" spans="2:8" x14ac:dyDescent="0.25">
      <c r="B2" s="6" t="s">
        <v>50</v>
      </c>
      <c r="C2" s="7" t="s">
        <v>49</v>
      </c>
      <c r="D2" s="6" t="s">
        <v>48</v>
      </c>
      <c r="E2" s="7" t="s">
        <v>51</v>
      </c>
      <c r="F2" s="6" t="s">
        <v>52</v>
      </c>
      <c r="G2" s="7" t="s">
        <v>53</v>
      </c>
      <c r="H2" s="6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8187B-0F76-43B8-A112-FC2ED804FFD1}">
  <sheetPr codeName="Planilha5"/>
  <dimension ref="B2:AX17"/>
  <sheetViews>
    <sheetView topLeftCell="B1" workbookViewId="0">
      <selection activeCell="V3" sqref="V3"/>
    </sheetView>
  </sheetViews>
  <sheetFormatPr defaultRowHeight="15" x14ac:dyDescent="0.25"/>
  <cols>
    <col min="1" max="1" width="0" hidden="1" customWidth="1"/>
    <col min="2" max="2" width="13.42578125" customWidth="1"/>
    <col min="4" max="4" width="18.42578125" customWidth="1"/>
    <col min="5" max="5" width="10.85546875" customWidth="1"/>
    <col min="7" max="7" width="20" customWidth="1"/>
    <col min="9" max="9" width="18.7109375" bestFit="1" customWidth="1"/>
    <col min="10" max="10" width="11" bestFit="1" customWidth="1"/>
    <col min="12" max="12" width="22.140625" customWidth="1"/>
    <col min="14" max="14" width="18.7109375" bestFit="1" customWidth="1"/>
    <col min="15" max="15" width="11" bestFit="1" customWidth="1"/>
    <col min="17" max="17" width="12.85546875" bestFit="1" customWidth="1"/>
    <col min="22" max="22" width="21.28515625" customWidth="1"/>
    <col min="24" max="24" width="18.7109375" bestFit="1" customWidth="1"/>
    <col min="25" max="25" width="11" bestFit="1" customWidth="1"/>
    <col min="27" max="27" width="25.140625" customWidth="1"/>
    <col min="29" max="29" width="18.7109375" bestFit="1" customWidth="1"/>
    <col min="30" max="30" width="11" bestFit="1" customWidth="1"/>
    <col min="32" max="32" width="32" customWidth="1"/>
    <col min="34" max="34" width="18.7109375" bestFit="1" customWidth="1"/>
    <col min="35" max="35" width="11" bestFit="1" customWidth="1"/>
    <col min="37" max="37" width="26.7109375" customWidth="1"/>
    <col min="39" max="39" width="18.7109375" bestFit="1" customWidth="1"/>
    <col min="40" max="40" width="11" bestFit="1" customWidth="1"/>
    <col min="42" max="42" width="24" bestFit="1" customWidth="1"/>
    <col min="47" max="47" width="19.7109375" customWidth="1"/>
    <col min="49" max="49" width="18.7109375" bestFit="1" customWidth="1"/>
    <col min="50" max="50" width="11" bestFit="1" customWidth="1"/>
  </cols>
  <sheetData>
    <row r="2" spans="2:50" x14ac:dyDescent="0.25">
      <c r="B2" t="s">
        <v>24</v>
      </c>
      <c r="C2" t="s">
        <v>27</v>
      </c>
      <c r="D2" t="s">
        <v>58</v>
      </c>
      <c r="E2" t="s">
        <v>57</v>
      </c>
      <c r="G2" t="s">
        <v>35</v>
      </c>
      <c r="H2" t="s">
        <v>27</v>
      </c>
      <c r="I2" t="s">
        <v>58</v>
      </c>
      <c r="J2" t="s">
        <v>57</v>
      </c>
      <c r="L2" t="s">
        <v>55</v>
      </c>
      <c r="M2" t="s">
        <v>27</v>
      </c>
      <c r="N2" t="s">
        <v>58</v>
      </c>
      <c r="O2" t="s">
        <v>57</v>
      </c>
      <c r="Q2" t="s">
        <v>59</v>
      </c>
      <c r="R2" t="s">
        <v>27</v>
      </c>
      <c r="S2" t="s">
        <v>58</v>
      </c>
      <c r="T2" t="s">
        <v>57</v>
      </c>
      <c r="V2" t="s">
        <v>56</v>
      </c>
      <c r="W2" t="s">
        <v>27</v>
      </c>
      <c r="X2" t="s">
        <v>58</v>
      </c>
      <c r="Y2" t="s">
        <v>57</v>
      </c>
      <c r="AA2" t="s">
        <v>61</v>
      </c>
      <c r="AB2" t="s">
        <v>27</v>
      </c>
      <c r="AC2" t="s">
        <v>58</v>
      </c>
      <c r="AD2" t="s">
        <v>57</v>
      </c>
      <c r="AF2" t="s">
        <v>60</v>
      </c>
      <c r="AG2" t="s">
        <v>27</v>
      </c>
      <c r="AH2" t="s">
        <v>58</v>
      </c>
      <c r="AI2" t="s">
        <v>57</v>
      </c>
      <c r="AK2" t="s">
        <v>63</v>
      </c>
      <c r="AL2" t="s">
        <v>27</v>
      </c>
      <c r="AM2" t="s">
        <v>58</v>
      </c>
      <c r="AN2" t="s">
        <v>57</v>
      </c>
      <c r="AP2" t="s">
        <v>64</v>
      </c>
      <c r="AQ2" t="s">
        <v>27</v>
      </c>
      <c r="AR2" t="s">
        <v>58</v>
      </c>
      <c r="AS2" t="s">
        <v>57</v>
      </c>
      <c r="AU2" t="s">
        <v>62</v>
      </c>
      <c r="AV2" t="s">
        <v>27</v>
      </c>
      <c r="AW2" t="s">
        <v>58</v>
      </c>
      <c r="AX2" t="s">
        <v>57</v>
      </c>
    </row>
    <row r="3" spans="2:50" x14ac:dyDescent="0.25">
      <c r="B3" t="s">
        <v>106</v>
      </c>
      <c r="C3">
        <v>10</v>
      </c>
      <c r="D3">
        <v>1</v>
      </c>
      <c r="E3" s="45">
        <f t="shared" ref="E3:E17" si="0">ROUNDUP(C3*D3,0)</f>
        <v>10</v>
      </c>
      <c r="G3" t="s">
        <v>107</v>
      </c>
      <c r="H3">
        <v>2</v>
      </c>
      <c r="I3">
        <v>1</v>
      </c>
      <c r="J3" s="45">
        <f t="shared" ref="J3:J17" si="1">ROUNDUP(H3*I3,0)</f>
        <v>2</v>
      </c>
      <c r="L3" t="s">
        <v>108</v>
      </c>
      <c r="M3">
        <v>12</v>
      </c>
      <c r="N3">
        <v>1</v>
      </c>
      <c r="O3" s="45">
        <f t="shared" ref="O3:O17" si="2">ROUNDUP(M3*N3,0)</f>
        <v>12</v>
      </c>
      <c r="Q3" t="s">
        <v>109</v>
      </c>
      <c r="R3">
        <v>24</v>
      </c>
      <c r="S3">
        <v>1</v>
      </c>
      <c r="T3" s="45">
        <f t="shared" ref="T3:T17" si="3">ROUNDUP(R3*S3,0)</f>
        <v>24</v>
      </c>
      <c r="Y3" s="45">
        <f t="shared" ref="Y3:Y17" si="4">ROUNDUP(W3*X3,0)</f>
        <v>0</v>
      </c>
      <c r="AD3" s="45">
        <f t="shared" ref="AD3:AD17" si="5">ROUNDUP(AB3*AC3,0)</f>
        <v>0</v>
      </c>
      <c r="AI3" s="45">
        <f t="shared" ref="AI3:AI17" si="6">ROUNDUP(AG3*AH3,0)</f>
        <v>0</v>
      </c>
      <c r="AN3" s="45">
        <f t="shared" ref="AN3:AN17" si="7">ROUNDUP(AL3*AM3,0)</f>
        <v>0</v>
      </c>
      <c r="AP3" t="s">
        <v>65</v>
      </c>
      <c r="AS3" s="45">
        <f t="shared" ref="AS3:AS17" si="8">ROUNDUP(AQ3*AR3,0)</f>
        <v>0</v>
      </c>
      <c r="AX3" s="45">
        <f t="shared" ref="AX3:AX17" si="9">ROUNDUP(AV3*AW3,0)</f>
        <v>0</v>
      </c>
    </row>
    <row r="4" spans="2:50" x14ac:dyDescent="0.25">
      <c r="E4" s="45">
        <f t="shared" si="0"/>
        <v>0</v>
      </c>
      <c r="J4" s="45">
        <f t="shared" si="1"/>
        <v>0</v>
      </c>
      <c r="O4" s="45">
        <f t="shared" si="2"/>
        <v>0</v>
      </c>
      <c r="T4" s="45">
        <f t="shared" si="3"/>
        <v>0</v>
      </c>
      <c r="Y4" s="45">
        <f t="shared" si="4"/>
        <v>0</v>
      </c>
      <c r="AD4" s="45">
        <f t="shared" si="5"/>
        <v>0</v>
      </c>
      <c r="AI4" s="45">
        <f t="shared" si="6"/>
        <v>0</v>
      </c>
      <c r="AN4" s="45">
        <f t="shared" si="7"/>
        <v>0</v>
      </c>
      <c r="AP4" t="s">
        <v>66</v>
      </c>
      <c r="AS4" s="45">
        <f t="shared" si="8"/>
        <v>0</v>
      </c>
      <c r="AX4" s="45">
        <f t="shared" si="9"/>
        <v>0</v>
      </c>
    </row>
    <row r="5" spans="2:50" x14ac:dyDescent="0.25">
      <c r="E5" s="45">
        <f t="shared" si="0"/>
        <v>0</v>
      </c>
      <c r="J5" s="45">
        <f t="shared" si="1"/>
        <v>0</v>
      </c>
      <c r="O5" s="45">
        <f t="shared" si="2"/>
        <v>0</v>
      </c>
      <c r="T5" s="45">
        <f t="shared" si="3"/>
        <v>0</v>
      </c>
      <c r="Y5" s="45">
        <f t="shared" si="4"/>
        <v>0</v>
      </c>
      <c r="AD5" s="45">
        <f t="shared" si="5"/>
        <v>0</v>
      </c>
      <c r="AI5" s="45">
        <f t="shared" si="6"/>
        <v>0</v>
      </c>
      <c r="AN5" s="45">
        <f t="shared" si="7"/>
        <v>0</v>
      </c>
      <c r="AP5" t="s">
        <v>67</v>
      </c>
      <c r="AS5" s="45">
        <f t="shared" si="8"/>
        <v>0</v>
      </c>
      <c r="AX5" s="45">
        <f t="shared" si="9"/>
        <v>0</v>
      </c>
    </row>
    <row r="6" spans="2:50" x14ac:dyDescent="0.25">
      <c r="E6" s="45">
        <f t="shared" si="0"/>
        <v>0</v>
      </c>
      <c r="J6" s="45">
        <f t="shared" si="1"/>
        <v>0</v>
      </c>
      <c r="O6" s="45">
        <f t="shared" si="2"/>
        <v>0</v>
      </c>
      <c r="T6" s="45">
        <f t="shared" si="3"/>
        <v>0</v>
      </c>
      <c r="Y6" s="45">
        <f t="shared" si="4"/>
        <v>0</v>
      </c>
      <c r="AD6" s="45">
        <f t="shared" si="5"/>
        <v>0</v>
      </c>
      <c r="AI6" s="45">
        <f t="shared" si="6"/>
        <v>0</v>
      </c>
      <c r="AN6" s="45">
        <f t="shared" si="7"/>
        <v>0</v>
      </c>
      <c r="AS6" s="45">
        <f t="shared" si="8"/>
        <v>0</v>
      </c>
      <c r="AX6" s="45">
        <f t="shared" si="9"/>
        <v>0</v>
      </c>
    </row>
    <row r="7" spans="2:50" x14ac:dyDescent="0.25">
      <c r="E7" s="45">
        <f t="shared" si="0"/>
        <v>0</v>
      </c>
      <c r="J7" s="45">
        <f t="shared" si="1"/>
        <v>0</v>
      </c>
      <c r="O7" s="45">
        <f t="shared" si="2"/>
        <v>0</v>
      </c>
      <c r="T7" s="45">
        <f t="shared" si="3"/>
        <v>0</v>
      </c>
      <c r="Y7" s="45">
        <f t="shared" si="4"/>
        <v>0</v>
      </c>
      <c r="AD7" s="45">
        <f t="shared" si="5"/>
        <v>0</v>
      </c>
      <c r="AI7" s="45">
        <f t="shared" si="6"/>
        <v>0</v>
      </c>
      <c r="AN7" s="45">
        <f t="shared" si="7"/>
        <v>0</v>
      </c>
      <c r="AS7" s="45">
        <f t="shared" si="8"/>
        <v>0</v>
      </c>
      <c r="AX7" s="45">
        <f t="shared" si="9"/>
        <v>0</v>
      </c>
    </row>
    <row r="8" spans="2:50" x14ac:dyDescent="0.25">
      <c r="E8" s="45">
        <f t="shared" si="0"/>
        <v>0</v>
      </c>
      <c r="J8" s="45">
        <f t="shared" si="1"/>
        <v>0</v>
      </c>
      <c r="O8" s="45">
        <f t="shared" si="2"/>
        <v>0</v>
      </c>
      <c r="T8" s="45">
        <f t="shared" si="3"/>
        <v>0</v>
      </c>
      <c r="Y8" s="45">
        <f t="shared" si="4"/>
        <v>0</v>
      </c>
      <c r="AD8" s="45">
        <f t="shared" si="5"/>
        <v>0</v>
      </c>
      <c r="AI8" s="45">
        <f t="shared" si="6"/>
        <v>0</v>
      </c>
      <c r="AN8" s="45">
        <f t="shared" si="7"/>
        <v>0</v>
      </c>
      <c r="AS8" s="45">
        <f t="shared" si="8"/>
        <v>0</v>
      </c>
      <c r="AX8" s="45">
        <f t="shared" si="9"/>
        <v>0</v>
      </c>
    </row>
    <row r="9" spans="2:50" x14ac:dyDescent="0.25">
      <c r="E9" s="45">
        <f t="shared" si="0"/>
        <v>0</v>
      </c>
      <c r="J9" s="45">
        <f t="shared" si="1"/>
        <v>0</v>
      </c>
      <c r="O9" s="45">
        <f t="shared" si="2"/>
        <v>0</v>
      </c>
      <c r="T9" s="45">
        <f t="shared" si="3"/>
        <v>0</v>
      </c>
      <c r="Y9" s="45">
        <f t="shared" si="4"/>
        <v>0</v>
      </c>
      <c r="AD9" s="45">
        <f t="shared" si="5"/>
        <v>0</v>
      </c>
      <c r="AI9" s="45">
        <f t="shared" si="6"/>
        <v>0</v>
      </c>
      <c r="AN9" s="45">
        <f t="shared" si="7"/>
        <v>0</v>
      </c>
      <c r="AS9" s="45">
        <f t="shared" si="8"/>
        <v>0</v>
      </c>
      <c r="AX9" s="45">
        <f t="shared" si="9"/>
        <v>0</v>
      </c>
    </row>
    <row r="10" spans="2:50" x14ac:dyDescent="0.25">
      <c r="E10" s="45">
        <f t="shared" si="0"/>
        <v>0</v>
      </c>
      <c r="J10" s="45">
        <f t="shared" si="1"/>
        <v>0</v>
      </c>
      <c r="O10" s="45">
        <f t="shared" si="2"/>
        <v>0</v>
      </c>
      <c r="T10" s="45">
        <f t="shared" si="3"/>
        <v>0</v>
      </c>
      <c r="Y10" s="45">
        <f t="shared" si="4"/>
        <v>0</v>
      </c>
      <c r="AD10" s="45">
        <f t="shared" si="5"/>
        <v>0</v>
      </c>
      <c r="AI10" s="45">
        <f t="shared" si="6"/>
        <v>0</v>
      </c>
      <c r="AN10" s="45">
        <f t="shared" si="7"/>
        <v>0</v>
      </c>
      <c r="AS10" s="45">
        <f t="shared" si="8"/>
        <v>0</v>
      </c>
      <c r="AX10" s="45">
        <f t="shared" si="9"/>
        <v>0</v>
      </c>
    </row>
    <row r="11" spans="2:50" x14ac:dyDescent="0.25">
      <c r="E11" s="45">
        <f t="shared" si="0"/>
        <v>0</v>
      </c>
      <c r="J11" s="45">
        <f t="shared" si="1"/>
        <v>0</v>
      </c>
      <c r="O11" s="45">
        <f t="shared" si="2"/>
        <v>0</v>
      </c>
      <c r="T11" s="45">
        <f t="shared" si="3"/>
        <v>0</v>
      </c>
      <c r="Y11" s="45">
        <f t="shared" si="4"/>
        <v>0</v>
      </c>
      <c r="AD11" s="45">
        <f t="shared" si="5"/>
        <v>0</v>
      </c>
      <c r="AI11" s="45">
        <f t="shared" si="6"/>
        <v>0</v>
      </c>
      <c r="AN11" s="45">
        <f t="shared" si="7"/>
        <v>0</v>
      </c>
      <c r="AS11" s="45">
        <f t="shared" si="8"/>
        <v>0</v>
      </c>
      <c r="AX11" s="45">
        <f t="shared" si="9"/>
        <v>0</v>
      </c>
    </row>
    <row r="12" spans="2:50" x14ac:dyDescent="0.25">
      <c r="E12" s="45">
        <f t="shared" si="0"/>
        <v>0</v>
      </c>
      <c r="J12" s="45">
        <f t="shared" si="1"/>
        <v>0</v>
      </c>
      <c r="O12" s="45">
        <f t="shared" si="2"/>
        <v>0</v>
      </c>
      <c r="T12" s="45">
        <f t="shared" si="3"/>
        <v>0</v>
      </c>
      <c r="Y12" s="45">
        <f t="shared" si="4"/>
        <v>0</v>
      </c>
      <c r="AD12" s="45">
        <f t="shared" si="5"/>
        <v>0</v>
      </c>
      <c r="AI12" s="45">
        <f t="shared" si="6"/>
        <v>0</v>
      </c>
      <c r="AN12" s="45">
        <f t="shared" si="7"/>
        <v>0</v>
      </c>
      <c r="AS12" s="45">
        <f t="shared" si="8"/>
        <v>0</v>
      </c>
      <c r="AX12" s="45">
        <f t="shared" si="9"/>
        <v>0</v>
      </c>
    </row>
    <row r="13" spans="2:50" x14ac:dyDescent="0.25">
      <c r="E13" s="45">
        <f t="shared" si="0"/>
        <v>0</v>
      </c>
      <c r="J13" s="45">
        <f t="shared" si="1"/>
        <v>0</v>
      </c>
      <c r="O13" s="45">
        <f t="shared" si="2"/>
        <v>0</v>
      </c>
      <c r="T13" s="45">
        <f t="shared" si="3"/>
        <v>0</v>
      </c>
      <c r="Y13" s="45">
        <f t="shared" si="4"/>
        <v>0</v>
      </c>
      <c r="AD13" s="45">
        <f t="shared" si="5"/>
        <v>0</v>
      </c>
      <c r="AI13" s="45">
        <f t="shared" si="6"/>
        <v>0</v>
      </c>
      <c r="AN13" s="45">
        <f t="shared" si="7"/>
        <v>0</v>
      </c>
      <c r="AS13" s="45">
        <f t="shared" si="8"/>
        <v>0</v>
      </c>
      <c r="AX13" s="45">
        <f t="shared" si="9"/>
        <v>0</v>
      </c>
    </row>
    <row r="14" spans="2:50" x14ac:dyDescent="0.25">
      <c r="E14" s="45">
        <f t="shared" si="0"/>
        <v>0</v>
      </c>
      <c r="J14" s="45">
        <f t="shared" si="1"/>
        <v>0</v>
      </c>
      <c r="O14" s="45">
        <f t="shared" si="2"/>
        <v>0</v>
      </c>
      <c r="T14" s="45">
        <f t="shared" si="3"/>
        <v>0</v>
      </c>
      <c r="Y14" s="45">
        <f t="shared" si="4"/>
        <v>0</v>
      </c>
      <c r="AD14" s="45">
        <f t="shared" si="5"/>
        <v>0</v>
      </c>
      <c r="AI14" s="45">
        <f t="shared" si="6"/>
        <v>0</v>
      </c>
      <c r="AN14" s="45">
        <f t="shared" si="7"/>
        <v>0</v>
      </c>
      <c r="AS14" s="45">
        <f t="shared" si="8"/>
        <v>0</v>
      </c>
      <c r="AX14" s="45">
        <f t="shared" si="9"/>
        <v>0</v>
      </c>
    </row>
    <row r="15" spans="2:50" x14ac:dyDescent="0.25">
      <c r="E15" s="45">
        <f t="shared" si="0"/>
        <v>0</v>
      </c>
      <c r="J15" s="45">
        <f t="shared" si="1"/>
        <v>0</v>
      </c>
      <c r="O15" s="45">
        <f t="shared" si="2"/>
        <v>0</v>
      </c>
      <c r="T15" s="45">
        <f t="shared" si="3"/>
        <v>0</v>
      </c>
      <c r="Y15" s="45">
        <f t="shared" si="4"/>
        <v>0</v>
      </c>
      <c r="AD15" s="45">
        <f t="shared" si="5"/>
        <v>0</v>
      </c>
      <c r="AI15" s="45">
        <f t="shared" si="6"/>
        <v>0</v>
      </c>
      <c r="AN15" s="45">
        <f t="shared" si="7"/>
        <v>0</v>
      </c>
      <c r="AS15" s="45">
        <f t="shared" si="8"/>
        <v>0</v>
      </c>
      <c r="AX15" s="45">
        <f t="shared" si="9"/>
        <v>0</v>
      </c>
    </row>
    <row r="16" spans="2:50" x14ac:dyDescent="0.25">
      <c r="E16" s="45">
        <f t="shared" si="0"/>
        <v>0</v>
      </c>
      <c r="J16" s="45">
        <f t="shared" si="1"/>
        <v>0</v>
      </c>
      <c r="O16" s="45">
        <f t="shared" si="2"/>
        <v>0</v>
      </c>
      <c r="T16" s="45">
        <f t="shared" si="3"/>
        <v>0</v>
      </c>
      <c r="Y16" s="45">
        <f t="shared" si="4"/>
        <v>0</v>
      </c>
      <c r="AD16" s="45">
        <f t="shared" si="5"/>
        <v>0</v>
      </c>
      <c r="AI16" s="45">
        <f t="shared" si="6"/>
        <v>0</v>
      </c>
      <c r="AN16" s="45">
        <f t="shared" si="7"/>
        <v>0</v>
      </c>
      <c r="AS16" s="45">
        <f t="shared" si="8"/>
        <v>0</v>
      </c>
      <c r="AX16" s="45">
        <f t="shared" si="9"/>
        <v>0</v>
      </c>
    </row>
    <row r="17" spans="5:50" x14ac:dyDescent="0.25">
      <c r="E17" s="45">
        <f t="shared" si="0"/>
        <v>0</v>
      </c>
      <c r="J17" s="45">
        <f t="shared" si="1"/>
        <v>0</v>
      </c>
      <c r="O17" s="45">
        <f t="shared" si="2"/>
        <v>0</v>
      </c>
      <c r="T17" s="45">
        <f t="shared" si="3"/>
        <v>0</v>
      </c>
      <c r="Y17" s="45">
        <f t="shared" si="4"/>
        <v>0</v>
      </c>
      <c r="AD17" s="45">
        <f t="shared" si="5"/>
        <v>0</v>
      </c>
      <c r="AI17" s="45">
        <f t="shared" si="6"/>
        <v>0</v>
      </c>
      <c r="AN17" s="45">
        <f t="shared" si="7"/>
        <v>0</v>
      </c>
      <c r="AS17" s="45">
        <f t="shared" si="8"/>
        <v>0</v>
      </c>
      <c r="AX17" s="45">
        <f t="shared" si="9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CBE5-57B0-475D-AAAC-F8C6BD830B2F}">
  <sheetPr codeName="Planilha6"/>
  <dimension ref="B2:T208"/>
  <sheetViews>
    <sheetView showGridLines="0" workbookViewId="0">
      <selection activeCell="L187" sqref="L187"/>
    </sheetView>
  </sheetViews>
  <sheetFormatPr defaultRowHeight="15" x14ac:dyDescent="0.25"/>
  <cols>
    <col min="1" max="1" width="3" customWidth="1"/>
    <col min="2" max="2" width="7.7109375" customWidth="1"/>
    <col min="3" max="3" width="13.7109375" customWidth="1"/>
    <col min="4" max="4" width="10.7109375" customWidth="1"/>
    <col min="5" max="5" width="6.85546875" customWidth="1"/>
    <col min="6" max="6" width="11.85546875" customWidth="1"/>
    <col min="7" max="7" width="11.140625" bestFit="1" customWidth="1"/>
    <col min="8" max="8" width="12.140625" customWidth="1"/>
    <col min="9" max="9" width="14.7109375" customWidth="1"/>
  </cols>
  <sheetData>
    <row r="2" spans="2:9" ht="20.25" x14ac:dyDescent="0.3">
      <c r="B2" s="76" t="s">
        <v>75</v>
      </c>
      <c r="C2" s="76"/>
      <c r="D2" s="76"/>
      <c r="E2" s="76"/>
      <c r="F2" s="11"/>
      <c r="G2" s="11"/>
      <c r="H2" s="11"/>
      <c r="I2" s="12"/>
    </row>
    <row r="3" spans="2:9" ht="15.75" thickBot="1" x14ac:dyDescent="0.3">
      <c r="B3" s="11"/>
      <c r="C3" s="11"/>
      <c r="D3" s="11"/>
      <c r="E3" s="11"/>
      <c r="F3" s="11"/>
      <c r="G3" s="11"/>
      <c r="H3" s="11"/>
      <c r="I3" s="12"/>
    </row>
    <row r="4" spans="2:9" x14ac:dyDescent="0.25">
      <c r="B4" s="13" t="s">
        <v>76</v>
      </c>
      <c r="C4" s="14"/>
      <c r="D4" s="15"/>
      <c r="E4" s="15"/>
      <c r="F4" s="15"/>
      <c r="G4" s="15"/>
      <c r="H4" s="15"/>
      <c r="I4" s="12"/>
    </row>
    <row r="5" spans="2:9" x14ac:dyDescent="0.25">
      <c r="B5" s="77" t="s">
        <v>77</v>
      </c>
      <c r="C5" s="77"/>
      <c r="D5" s="16"/>
      <c r="E5" s="16"/>
      <c r="F5" s="16"/>
      <c r="G5" s="16"/>
      <c r="H5" s="16"/>
      <c r="I5" s="12"/>
    </row>
    <row r="6" spans="2:9" x14ac:dyDescent="0.25">
      <c r="B6" s="78" t="s">
        <v>83</v>
      </c>
      <c r="C6" s="78"/>
      <c r="D6" s="78"/>
      <c r="E6" s="78"/>
      <c r="F6" s="78"/>
      <c r="G6" s="78"/>
      <c r="H6" s="78"/>
      <c r="I6" s="12"/>
    </row>
    <row r="7" spans="2:9" x14ac:dyDescent="0.25">
      <c r="B7" s="79"/>
      <c r="C7" s="79"/>
      <c r="D7" s="79"/>
      <c r="E7" s="79"/>
      <c r="F7" s="79"/>
      <c r="G7" s="79"/>
      <c r="H7" s="79"/>
      <c r="I7" s="12"/>
    </row>
    <row r="8" spans="2:9" x14ac:dyDescent="0.25">
      <c r="B8" s="17" t="s">
        <v>84</v>
      </c>
      <c r="C8" s="18"/>
      <c r="D8" s="18"/>
      <c r="E8" s="18"/>
      <c r="F8" s="18"/>
      <c r="G8" s="18"/>
      <c r="H8" s="18"/>
      <c r="I8" s="12"/>
    </row>
    <row r="9" spans="2:9" x14ac:dyDescent="0.25">
      <c r="B9" s="19" t="s">
        <v>85</v>
      </c>
      <c r="C9" s="20"/>
      <c r="D9" s="20"/>
      <c r="E9" s="20"/>
      <c r="F9" s="20"/>
      <c r="G9" s="20"/>
      <c r="H9" s="20"/>
      <c r="I9" s="12"/>
    </row>
    <row r="10" spans="2:9" x14ac:dyDescent="0.25">
      <c r="B10" s="19" t="s">
        <v>86</v>
      </c>
      <c r="C10" s="20"/>
      <c r="D10" s="20"/>
      <c r="E10" s="20"/>
      <c r="F10" s="20"/>
      <c r="G10" s="20"/>
      <c r="H10" s="20"/>
      <c r="I10" s="12"/>
    </row>
    <row r="11" spans="2:9" x14ac:dyDescent="0.25">
      <c r="B11" s="19" t="s">
        <v>87</v>
      </c>
      <c r="C11" s="20"/>
      <c r="D11" s="20"/>
      <c r="E11" s="20"/>
      <c r="F11" s="20"/>
      <c r="G11" s="20"/>
      <c r="H11" s="20"/>
      <c r="I11" s="12"/>
    </row>
    <row r="12" spans="2:9" x14ac:dyDescent="0.25">
      <c r="B12" s="11"/>
      <c r="C12" s="11"/>
      <c r="D12" s="11"/>
      <c r="E12" s="11"/>
      <c r="F12" s="11"/>
      <c r="G12" s="11"/>
      <c r="H12" s="11"/>
      <c r="I12" s="12"/>
    </row>
    <row r="13" spans="2:9" x14ac:dyDescent="0.25">
      <c r="B13" s="11"/>
      <c r="C13" s="11"/>
      <c r="D13" s="11"/>
      <c r="E13" s="11"/>
      <c r="F13" s="11"/>
      <c r="G13" s="11"/>
      <c r="H13" s="11"/>
      <c r="I13" s="12"/>
    </row>
    <row r="14" spans="2:9" x14ac:dyDescent="0.25">
      <c r="B14" s="11"/>
      <c r="C14" s="11"/>
      <c r="D14" s="11"/>
      <c r="E14" s="11"/>
      <c r="F14" s="11"/>
      <c r="G14" s="11"/>
      <c r="H14" s="11"/>
      <c r="I14" s="12"/>
    </row>
    <row r="15" spans="2:9" ht="20.25" x14ac:dyDescent="0.3">
      <c r="B15" s="21"/>
      <c r="C15" s="75" t="s">
        <v>24</v>
      </c>
      <c r="D15" s="75"/>
      <c r="E15" s="15"/>
      <c r="F15" s="15"/>
      <c r="G15" s="15"/>
      <c r="H15" s="15"/>
      <c r="I15" s="22"/>
    </row>
    <row r="16" spans="2:9" x14ac:dyDescent="0.25">
      <c r="B16" s="23" t="s">
        <v>78</v>
      </c>
      <c r="C16" s="24"/>
      <c r="D16" s="24"/>
      <c r="E16" s="24"/>
      <c r="F16" s="24"/>
      <c r="G16" s="25" t="s">
        <v>79</v>
      </c>
      <c r="H16" s="26" t="s">
        <v>80</v>
      </c>
      <c r="I16" s="27" t="s">
        <v>81</v>
      </c>
    </row>
    <row r="17" spans="2:20" x14ac:dyDescent="0.25">
      <c r="B17" s="28" t="str">
        <f>Quantitativo!B3</f>
        <v>Dupla</v>
      </c>
      <c r="C17" s="28"/>
      <c r="D17" s="28"/>
      <c r="E17" s="28"/>
      <c r="F17" s="28"/>
      <c r="G17" s="29">
        <v>8</v>
      </c>
      <c r="H17" s="30">
        <f>Quantitativo!E3</f>
        <v>10</v>
      </c>
      <c r="I17" s="31">
        <f>G17*H17</f>
        <v>80</v>
      </c>
    </row>
    <row r="18" spans="2:20" x14ac:dyDescent="0.25">
      <c r="B18" s="28">
        <f>Quantitativo!B4</f>
        <v>0</v>
      </c>
      <c r="C18" s="28"/>
      <c r="D18" s="28"/>
      <c r="E18" s="28"/>
      <c r="F18" s="28"/>
      <c r="G18" s="29"/>
      <c r="H18" s="30">
        <f>Quantitativo!E4</f>
        <v>0</v>
      </c>
      <c r="I18" s="31">
        <f t="shared" ref="I18:I29" si="0">G18*H18</f>
        <v>0</v>
      </c>
    </row>
    <row r="19" spans="2:20" x14ac:dyDescent="0.25">
      <c r="B19" s="28">
        <f>Quantitativo!B5</f>
        <v>0</v>
      </c>
      <c r="C19" s="28"/>
      <c r="D19" s="28"/>
      <c r="E19" s="28"/>
      <c r="F19" s="28"/>
      <c r="G19" s="29"/>
      <c r="H19" s="30">
        <f>Quantitativo!E5</f>
        <v>0</v>
      </c>
      <c r="I19" s="31">
        <f t="shared" si="0"/>
        <v>0</v>
      </c>
    </row>
    <row r="20" spans="2:20" x14ac:dyDescent="0.25">
      <c r="B20" s="28">
        <f>Quantitativo!B6</f>
        <v>0</v>
      </c>
      <c r="C20" s="28"/>
      <c r="D20" s="28"/>
      <c r="E20" s="28"/>
      <c r="F20" s="28"/>
      <c r="G20" s="29"/>
      <c r="H20" s="30">
        <f>Quantitativo!E6</f>
        <v>0</v>
      </c>
      <c r="I20" s="31">
        <f t="shared" si="0"/>
        <v>0</v>
      </c>
    </row>
    <row r="21" spans="2:20" x14ac:dyDescent="0.25">
      <c r="B21" s="28">
        <f>Quantitativo!B7</f>
        <v>0</v>
      </c>
      <c r="C21" s="28"/>
      <c r="D21" s="28"/>
      <c r="E21" s="28"/>
      <c r="F21" s="28"/>
      <c r="G21" s="29"/>
      <c r="H21" s="30">
        <f>Quantitativo!E7</f>
        <v>0</v>
      </c>
      <c r="I21" s="31">
        <f t="shared" si="0"/>
        <v>0</v>
      </c>
    </row>
    <row r="22" spans="2:20" x14ac:dyDescent="0.25">
      <c r="B22" s="28">
        <f>Quantitativo!B8</f>
        <v>0</v>
      </c>
      <c r="C22" s="28"/>
      <c r="D22" s="28"/>
      <c r="E22" s="28"/>
      <c r="F22" s="28"/>
      <c r="G22" s="29"/>
      <c r="H22" s="30">
        <f>Quantitativo!E8</f>
        <v>0</v>
      </c>
      <c r="I22" s="31">
        <f t="shared" si="0"/>
        <v>0</v>
      </c>
    </row>
    <row r="23" spans="2:20" x14ac:dyDescent="0.25">
      <c r="B23" s="28">
        <f>Quantitativo!B9</f>
        <v>0</v>
      </c>
      <c r="C23" s="28"/>
      <c r="D23" s="28"/>
      <c r="E23" s="28"/>
      <c r="F23" s="28"/>
      <c r="G23" s="29"/>
      <c r="H23" s="30">
        <f>Quantitativo!E9</f>
        <v>0</v>
      </c>
      <c r="I23" s="31">
        <f t="shared" si="0"/>
        <v>0</v>
      </c>
    </row>
    <row r="24" spans="2:20" x14ac:dyDescent="0.25">
      <c r="B24" s="28">
        <f>Quantitativo!B10</f>
        <v>0</v>
      </c>
      <c r="C24" s="28"/>
      <c r="D24" s="28"/>
      <c r="E24" s="28"/>
      <c r="F24" s="28"/>
      <c r="G24" s="29"/>
      <c r="H24" s="30">
        <f>Quantitativo!E10</f>
        <v>0</v>
      </c>
      <c r="I24" s="31">
        <f t="shared" si="0"/>
        <v>0</v>
      </c>
    </row>
    <row r="25" spans="2:20" x14ac:dyDescent="0.25">
      <c r="B25" s="28">
        <f>Quantitativo!B11</f>
        <v>0</v>
      </c>
      <c r="C25" s="28"/>
      <c r="D25" s="28"/>
      <c r="E25" s="28"/>
      <c r="F25" s="28"/>
      <c r="G25" s="29"/>
      <c r="H25" s="30">
        <f>Quantitativo!E11</f>
        <v>0</v>
      </c>
      <c r="I25" s="31">
        <f t="shared" si="0"/>
        <v>0</v>
      </c>
    </row>
    <row r="26" spans="2:20" x14ac:dyDescent="0.25">
      <c r="B26" s="28">
        <f>Quantitativo!B12</f>
        <v>0</v>
      </c>
      <c r="C26" s="28"/>
      <c r="D26" s="28"/>
      <c r="E26" s="28"/>
      <c r="F26" s="28"/>
      <c r="G26" s="29"/>
      <c r="H26" s="30">
        <f>Quantitativo!E12</f>
        <v>0</v>
      </c>
      <c r="I26" s="31">
        <f t="shared" si="0"/>
        <v>0</v>
      </c>
    </row>
    <row r="27" spans="2:20" x14ac:dyDescent="0.25">
      <c r="B27" s="28">
        <f>Quantitativo!B13</f>
        <v>0</v>
      </c>
      <c r="C27" s="28"/>
      <c r="D27" s="28"/>
      <c r="E27" s="28"/>
      <c r="F27" s="28"/>
      <c r="G27" s="29"/>
      <c r="H27" s="30">
        <f>Quantitativo!E13</f>
        <v>0</v>
      </c>
      <c r="I27" s="31">
        <f t="shared" si="0"/>
        <v>0</v>
      </c>
    </row>
    <row r="28" spans="2:20" x14ac:dyDescent="0.25">
      <c r="B28" s="28">
        <f>Quantitativo!B14</f>
        <v>0</v>
      </c>
      <c r="C28" s="28"/>
      <c r="D28" s="28"/>
      <c r="E28" s="28"/>
      <c r="F28" s="28"/>
      <c r="G28" s="29"/>
      <c r="H28" s="30">
        <f>Quantitativo!E14</f>
        <v>0</v>
      </c>
      <c r="I28" s="31">
        <f t="shared" si="0"/>
        <v>0</v>
      </c>
    </row>
    <row r="29" spans="2:20" x14ac:dyDescent="0.25">
      <c r="B29" s="28">
        <f>Quantitativo!B15</f>
        <v>0</v>
      </c>
      <c r="C29" s="28"/>
      <c r="D29" s="28"/>
      <c r="E29" s="28"/>
      <c r="F29" s="28"/>
      <c r="G29" s="29"/>
      <c r="H29" s="30">
        <f>Quantitativo!E15</f>
        <v>0</v>
      </c>
      <c r="I29" s="31">
        <f t="shared" si="0"/>
        <v>0</v>
      </c>
    </row>
    <row r="30" spans="2:20" ht="18" x14ac:dyDescent="0.25">
      <c r="B30" s="11"/>
      <c r="C30" s="11"/>
      <c r="D30" s="11"/>
      <c r="E30" s="11"/>
      <c r="F30" s="11"/>
      <c r="G30" s="11"/>
      <c r="H30" s="11"/>
      <c r="I30" s="12"/>
      <c r="M30" s="32"/>
      <c r="N30" s="33"/>
      <c r="O30" s="11"/>
      <c r="P30" s="34"/>
      <c r="Q30" s="35"/>
      <c r="R30" s="35"/>
      <c r="S30" s="35"/>
      <c r="T30" s="36"/>
    </row>
    <row r="31" spans="2:20" ht="20.25" x14ac:dyDescent="0.3">
      <c r="B31" s="21"/>
      <c r="C31" s="75" t="s">
        <v>35</v>
      </c>
      <c r="D31" s="75"/>
      <c r="E31" s="15"/>
      <c r="F31" s="15"/>
      <c r="G31" s="15"/>
      <c r="H31" s="15"/>
      <c r="I31" s="22"/>
    </row>
    <row r="32" spans="2:20" x14ac:dyDescent="0.25">
      <c r="B32" s="23" t="s">
        <v>78</v>
      </c>
      <c r="C32" s="24"/>
      <c r="D32" s="24"/>
      <c r="E32" s="24"/>
      <c r="F32" s="24"/>
      <c r="G32" s="25" t="s">
        <v>79</v>
      </c>
      <c r="H32" s="26" t="s">
        <v>80</v>
      </c>
      <c r="I32" s="27" t="s">
        <v>81</v>
      </c>
    </row>
    <row r="33" spans="2:9" x14ac:dyDescent="0.25">
      <c r="B33" s="28" t="str">
        <f>Quantitativo!G3</f>
        <v>20A</v>
      </c>
      <c r="C33" s="28"/>
      <c r="D33" s="28"/>
      <c r="E33" s="28"/>
      <c r="F33" s="28"/>
      <c r="G33" s="29">
        <v>10</v>
      </c>
      <c r="H33" s="30">
        <f>Quantitativo!J3</f>
        <v>2</v>
      </c>
      <c r="I33" s="31">
        <f>G33*H33</f>
        <v>20</v>
      </c>
    </row>
    <row r="34" spans="2:9" x14ac:dyDescent="0.25">
      <c r="B34" s="28">
        <f>Quantitativo!G4</f>
        <v>0</v>
      </c>
      <c r="C34" s="28"/>
      <c r="D34" s="28"/>
      <c r="E34" s="28"/>
      <c r="F34" s="28"/>
      <c r="G34" s="29"/>
      <c r="H34" s="30">
        <f>Quantitativo!J4</f>
        <v>0</v>
      </c>
      <c r="I34" s="31">
        <f t="shared" ref="I34:I45" si="1">G34*H34</f>
        <v>0</v>
      </c>
    </row>
    <row r="35" spans="2:9" x14ac:dyDescent="0.25">
      <c r="B35" s="28">
        <f>Quantitativo!G5</f>
        <v>0</v>
      </c>
      <c r="C35" s="28"/>
      <c r="D35" s="28"/>
      <c r="E35" s="28"/>
      <c r="F35" s="28"/>
      <c r="G35" s="29"/>
      <c r="H35" s="30">
        <f>Quantitativo!J5</f>
        <v>0</v>
      </c>
      <c r="I35" s="31">
        <f t="shared" si="1"/>
        <v>0</v>
      </c>
    </row>
    <row r="36" spans="2:9" x14ac:dyDescent="0.25">
      <c r="B36" s="28">
        <f>Quantitativo!G6</f>
        <v>0</v>
      </c>
      <c r="C36" s="28"/>
      <c r="D36" s="28"/>
      <c r="E36" s="28"/>
      <c r="F36" s="28"/>
      <c r="G36" s="29"/>
      <c r="H36" s="30">
        <f>Quantitativo!J6</f>
        <v>0</v>
      </c>
      <c r="I36" s="31">
        <f t="shared" si="1"/>
        <v>0</v>
      </c>
    </row>
    <row r="37" spans="2:9" x14ac:dyDescent="0.25">
      <c r="B37" s="28">
        <f>Quantitativo!G7</f>
        <v>0</v>
      </c>
      <c r="C37" s="28"/>
      <c r="D37" s="28"/>
      <c r="E37" s="28"/>
      <c r="F37" s="28"/>
      <c r="G37" s="29"/>
      <c r="H37" s="30">
        <f>Quantitativo!J7</f>
        <v>0</v>
      </c>
      <c r="I37" s="31">
        <f t="shared" si="1"/>
        <v>0</v>
      </c>
    </row>
    <row r="38" spans="2:9" x14ac:dyDescent="0.25">
      <c r="B38" s="28">
        <f>Quantitativo!G8</f>
        <v>0</v>
      </c>
      <c r="C38" s="28"/>
      <c r="D38" s="28"/>
      <c r="E38" s="28"/>
      <c r="F38" s="28"/>
      <c r="G38" s="29"/>
      <c r="H38" s="30">
        <f>Quantitativo!J8</f>
        <v>0</v>
      </c>
      <c r="I38" s="31">
        <f t="shared" si="1"/>
        <v>0</v>
      </c>
    </row>
    <row r="39" spans="2:9" x14ac:dyDescent="0.25">
      <c r="B39" s="28">
        <f>Quantitativo!G9</f>
        <v>0</v>
      </c>
      <c r="C39" s="28"/>
      <c r="D39" s="28"/>
      <c r="E39" s="28"/>
      <c r="F39" s="28"/>
      <c r="G39" s="29"/>
      <c r="H39" s="30">
        <f>Quantitativo!J9</f>
        <v>0</v>
      </c>
      <c r="I39" s="31">
        <f t="shared" si="1"/>
        <v>0</v>
      </c>
    </row>
    <row r="40" spans="2:9" x14ac:dyDescent="0.25">
      <c r="B40" s="28">
        <f>Quantitativo!G10</f>
        <v>0</v>
      </c>
      <c r="C40" s="28"/>
      <c r="D40" s="28"/>
      <c r="E40" s="28"/>
      <c r="F40" s="28"/>
      <c r="G40" s="29"/>
      <c r="H40" s="30">
        <f>Quantitativo!J10</f>
        <v>0</v>
      </c>
      <c r="I40" s="31">
        <f t="shared" si="1"/>
        <v>0</v>
      </c>
    </row>
    <row r="41" spans="2:9" x14ac:dyDescent="0.25">
      <c r="B41" s="28">
        <f>Quantitativo!G11</f>
        <v>0</v>
      </c>
      <c r="C41" s="28"/>
      <c r="D41" s="28"/>
      <c r="E41" s="28"/>
      <c r="F41" s="28"/>
      <c r="G41" s="29"/>
      <c r="H41" s="30">
        <f>Quantitativo!J11</f>
        <v>0</v>
      </c>
      <c r="I41" s="31">
        <f t="shared" si="1"/>
        <v>0</v>
      </c>
    </row>
    <row r="42" spans="2:9" x14ac:dyDescent="0.25">
      <c r="B42" s="28">
        <f>Quantitativo!G12</f>
        <v>0</v>
      </c>
      <c r="C42" s="28"/>
      <c r="D42" s="28"/>
      <c r="E42" s="28"/>
      <c r="F42" s="28"/>
      <c r="G42" s="29"/>
      <c r="H42" s="30">
        <f>Quantitativo!J12</f>
        <v>0</v>
      </c>
      <c r="I42" s="31">
        <f t="shared" si="1"/>
        <v>0</v>
      </c>
    </row>
    <row r="43" spans="2:9" x14ac:dyDescent="0.25">
      <c r="B43" s="28">
        <f>Quantitativo!G13</f>
        <v>0</v>
      </c>
      <c r="C43" s="28"/>
      <c r="D43" s="28"/>
      <c r="E43" s="28"/>
      <c r="F43" s="28"/>
      <c r="G43" s="29"/>
      <c r="H43" s="30">
        <f>Quantitativo!J13</f>
        <v>0</v>
      </c>
      <c r="I43" s="31">
        <f t="shared" si="1"/>
        <v>0</v>
      </c>
    </row>
    <row r="44" spans="2:9" x14ac:dyDescent="0.25">
      <c r="B44" s="28">
        <f>Quantitativo!G14</f>
        <v>0</v>
      </c>
      <c r="C44" s="28"/>
      <c r="D44" s="28"/>
      <c r="E44" s="28"/>
      <c r="F44" s="28"/>
      <c r="G44" s="29"/>
      <c r="H44" s="30">
        <f>Quantitativo!J14</f>
        <v>0</v>
      </c>
      <c r="I44" s="31">
        <f t="shared" si="1"/>
        <v>0</v>
      </c>
    </row>
    <row r="45" spans="2:9" x14ac:dyDescent="0.25">
      <c r="B45" s="28">
        <f>Quantitativo!G15</f>
        <v>0</v>
      </c>
      <c r="C45" s="28"/>
      <c r="D45" s="28"/>
      <c r="E45" s="28"/>
      <c r="F45" s="28"/>
      <c r="G45" s="29"/>
      <c r="H45" s="30">
        <f>Quantitativo!J15</f>
        <v>0</v>
      </c>
      <c r="I45" s="31">
        <f t="shared" si="1"/>
        <v>0</v>
      </c>
    </row>
    <row r="47" spans="2:9" ht="20.25" x14ac:dyDescent="0.3">
      <c r="B47" s="21"/>
      <c r="C47" s="75" t="s">
        <v>55</v>
      </c>
      <c r="D47" s="75"/>
      <c r="E47" s="15"/>
      <c r="F47" s="15"/>
      <c r="G47" s="15"/>
      <c r="H47" s="15"/>
      <c r="I47" s="22"/>
    </row>
    <row r="48" spans="2:9" x14ac:dyDescent="0.25">
      <c r="B48" s="23" t="s">
        <v>78</v>
      </c>
      <c r="C48" s="24"/>
      <c r="D48" s="24"/>
      <c r="E48" s="24"/>
      <c r="F48" s="24"/>
      <c r="G48" s="25" t="s">
        <v>79</v>
      </c>
      <c r="H48" s="26" t="s">
        <v>80</v>
      </c>
      <c r="I48" s="27" t="s">
        <v>81</v>
      </c>
    </row>
    <row r="49" spans="2:9" x14ac:dyDescent="0.25">
      <c r="B49" s="28" t="str">
        <f>Quantitativo!L3</f>
        <v>Duplo</v>
      </c>
      <c r="C49" s="28"/>
      <c r="D49" s="28"/>
      <c r="E49" s="28"/>
      <c r="F49" s="28"/>
      <c r="G49" s="29">
        <v>7</v>
      </c>
      <c r="H49" s="30">
        <f>Quantitativo!O3</f>
        <v>12</v>
      </c>
      <c r="I49" s="31">
        <f>G49*H49</f>
        <v>84</v>
      </c>
    </row>
    <row r="50" spans="2:9" x14ac:dyDescent="0.25">
      <c r="B50" s="28">
        <f>Quantitativo!L4</f>
        <v>0</v>
      </c>
      <c r="C50" s="28"/>
      <c r="D50" s="28"/>
      <c r="E50" s="28"/>
      <c r="F50" s="28"/>
      <c r="G50" s="29"/>
      <c r="H50" s="30">
        <f>Quantitativo!O4</f>
        <v>0</v>
      </c>
      <c r="I50" s="31">
        <f t="shared" ref="I50:I61" si="2">G50*H50</f>
        <v>0</v>
      </c>
    </row>
    <row r="51" spans="2:9" x14ac:dyDescent="0.25">
      <c r="B51" s="28">
        <f>Quantitativo!L5</f>
        <v>0</v>
      </c>
      <c r="C51" s="28"/>
      <c r="D51" s="28"/>
      <c r="E51" s="28"/>
      <c r="F51" s="28"/>
      <c r="G51" s="29"/>
      <c r="H51" s="30">
        <f>Quantitativo!O5</f>
        <v>0</v>
      </c>
      <c r="I51" s="31">
        <f t="shared" si="2"/>
        <v>0</v>
      </c>
    </row>
    <row r="52" spans="2:9" x14ac:dyDescent="0.25">
      <c r="B52" s="28">
        <f>Quantitativo!L6</f>
        <v>0</v>
      </c>
      <c r="C52" s="28"/>
      <c r="D52" s="28"/>
      <c r="E52" s="28"/>
      <c r="F52" s="28"/>
      <c r="G52" s="29"/>
      <c r="H52" s="30">
        <f>Quantitativo!O6</f>
        <v>0</v>
      </c>
      <c r="I52" s="31">
        <f t="shared" si="2"/>
        <v>0</v>
      </c>
    </row>
    <row r="53" spans="2:9" x14ac:dyDescent="0.25">
      <c r="B53" s="28">
        <f>Quantitativo!L7</f>
        <v>0</v>
      </c>
      <c r="C53" s="28"/>
      <c r="D53" s="28"/>
      <c r="E53" s="28"/>
      <c r="F53" s="28"/>
      <c r="G53" s="29"/>
      <c r="H53" s="30">
        <f>Quantitativo!O7</f>
        <v>0</v>
      </c>
      <c r="I53" s="31">
        <f t="shared" si="2"/>
        <v>0</v>
      </c>
    </row>
    <row r="54" spans="2:9" x14ac:dyDescent="0.25">
      <c r="B54" s="28">
        <f>Quantitativo!L8</f>
        <v>0</v>
      </c>
      <c r="C54" s="28"/>
      <c r="D54" s="28"/>
      <c r="E54" s="28"/>
      <c r="F54" s="28"/>
      <c r="G54" s="29"/>
      <c r="H54" s="30">
        <f>Quantitativo!O8</f>
        <v>0</v>
      </c>
      <c r="I54" s="31">
        <f t="shared" si="2"/>
        <v>0</v>
      </c>
    </row>
    <row r="55" spans="2:9" x14ac:dyDescent="0.25">
      <c r="B55" s="28">
        <f>Quantitativo!L9</f>
        <v>0</v>
      </c>
      <c r="C55" s="28"/>
      <c r="D55" s="28"/>
      <c r="E55" s="28"/>
      <c r="F55" s="28"/>
      <c r="G55" s="29"/>
      <c r="H55" s="30">
        <f>Quantitativo!O9</f>
        <v>0</v>
      </c>
      <c r="I55" s="31">
        <f t="shared" si="2"/>
        <v>0</v>
      </c>
    </row>
    <row r="56" spans="2:9" x14ac:dyDescent="0.25">
      <c r="B56" s="28">
        <f>Quantitativo!L10</f>
        <v>0</v>
      </c>
      <c r="C56" s="28"/>
      <c r="D56" s="28"/>
      <c r="E56" s="28"/>
      <c r="F56" s="28"/>
      <c r="G56" s="29"/>
      <c r="H56" s="30">
        <f>Quantitativo!O10</f>
        <v>0</v>
      </c>
      <c r="I56" s="31">
        <f t="shared" si="2"/>
        <v>0</v>
      </c>
    </row>
    <row r="57" spans="2:9" x14ac:dyDescent="0.25">
      <c r="B57" s="28">
        <f>Quantitativo!L11</f>
        <v>0</v>
      </c>
      <c r="C57" s="28"/>
      <c r="D57" s="28"/>
      <c r="E57" s="28"/>
      <c r="F57" s="28"/>
      <c r="G57" s="29"/>
      <c r="H57" s="30">
        <f>Quantitativo!O11</f>
        <v>0</v>
      </c>
      <c r="I57" s="31">
        <f t="shared" si="2"/>
        <v>0</v>
      </c>
    </row>
    <row r="58" spans="2:9" x14ac:dyDescent="0.25">
      <c r="B58" s="28">
        <f>Quantitativo!L12</f>
        <v>0</v>
      </c>
      <c r="C58" s="28"/>
      <c r="D58" s="28"/>
      <c r="E58" s="28"/>
      <c r="F58" s="28"/>
      <c r="G58" s="29"/>
      <c r="H58" s="30">
        <f>Quantitativo!O12</f>
        <v>0</v>
      </c>
      <c r="I58" s="31">
        <f t="shared" si="2"/>
        <v>0</v>
      </c>
    </row>
    <row r="59" spans="2:9" x14ac:dyDescent="0.25">
      <c r="B59" s="28">
        <f>Quantitativo!L13</f>
        <v>0</v>
      </c>
      <c r="C59" s="28"/>
      <c r="D59" s="28"/>
      <c r="E59" s="28"/>
      <c r="F59" s="28"/>
      <c r="G59" s="29"/>
      <c r="H59" s="30">
        <f>Quantitativo!O13</f>
        <v>0</v>
      </c>
      <c r="I59" s="31">
        <f t="shared" si="2"/>
        <v>0</v>
      </c>
    </row>
    <row r="60" spans="2:9" x14ac:dyDescent="0.25">
      <c r="B60" s="28">
        <f>Quantitativo!L14</f>
        <v>0</v>
      </c>
      <c r="C60" s="28"/>
      <c r="D60" s="28"/>
      <c r="E60" s="28"/>
      <c r="F60" s="28"/>
      <c r="G60" s="29"/>
      <c r="H60" s="30">
        <f>Quantitativo!O14</f>
        <v>0</v>
      </c>
      <c r="I60" s="31">
        <f t="shared" si="2"/>
        <v>0</v>
      </c>
    </row>
    <row r="61" spans="2:9" x14ac:dyDescent="0.25">
      <c r="B61" s="28">
        <f>Quantitativo!L15</f>
        <v>0</v>
      </c>
      <c r="C61" s="28"/>
      <c r="D61" s="28"/>
      <c r="E61" s="28"/>
      <c r="F61" s="28"/>
      <c r="G61" s="29"/>
      <c r="H61" s="30">
        <f>Quantitativo!O15</f>
        <v>0</v>
      </c>
      <c r="I61" s="31">
        <f t="shared" si="2"/>
        <v>0</v>
      </c>
    </row>
    <row r="63" spans="2:9" ht="20.25" x14ac:dyDescent="0.3">
      <c r="B63" s="21"/>
      <c r="C63" s="75" t="s">
        <v>59</v>
      </c>
      <c r="D63" s="75"/>
      <c r="E63" s="15"/>
      <c r="F63" s="15"/>
      <c r="G63" s="15"/>
      <c r="H63" s="15"/>
      <c r="I63" s="22"/>
    </row>
    <row r="64" spans="2:9" x14ac:dyDescent="0.25">
      <c r="B64" s="23" t="s">
        <v>78</v>
      </c>
      <c r="C64" s="24"/>
      <c r="D64" s="24"/>
      <c r="E64" s="24"/>
      <c r="F64" s="24"/>
      <c r="G64" s="25" t="s">
        <v>79</v>
      </c>
      <c r="H64" s="26" t="s">
        <v>80</v>
      </c>
      <c r="I64" s="27" t="s">
        <v>81</v>
      </c>
    </row>
    <row r="65" spans="2:9" x14ac:dyDescent="0.25">
      <c r="B65" s="28" t="str">
        <f>Quantitativo!Q3</f>
        <v>De forro</v>
      </c>
      <c r="C65" s="28"/>
      <c r="D65" s="28"/>
      <c r="E65" s="28"/>
      <c r="F65" s="28"/>
      <c r="G65" s="29">
        <v>10</v>
      </c>
      <c r="H65" s="30">
        <f>Quantitativo!T3</f>
        <v>24</v>
      </c>
      <c r="I65" s="31">
        <f>G65*H65</f>
        <v>240</v>
      </c>
    </row>
    <row r="66" spans="2:9" x14ac:dyDescent="0.25">
      <c r="B66" s="28">
        <f>Quantitativo!Q4</f>
        <v>0</v>
      </c>
      <c r="C66" s="28"/>
      <c r="D66" s="28"/>
      <c r="E66" s="28"/>
      <c r="F66" s="28"/>
      <c r="G66" s="29"/>
      <c r="H66" s="30">
        <f>Quantitativo!T4</f>
        <v>0</v>
      </c>
      <c r="I66" s="31">
        <f t="shared" ref="I66:I77" si="3">G66*H66</f>
        <v>0</v>
      </c>
    </row>
    <row r="67" spans="2:9" x14ac:dyDescent="0.25">
      <c r="B67" s="28">
        <f>Quantitativo!Q5</f>
        <v>0</v>
      </c>
      <c r="C67" s="28"/>
      <c r="D67" s="28"/>
      <c r="E67" s="28"/>
      <c r="F67" s="28"/>
      <c r="G67" s="29"/>
      <c r="H67" s="30">
        <f>Quantitativo!T5</f>
        <v>0</v>
      </c>
      <c r="I67" s="31">
        <f t="shared" si="3"/>
        <v>0</v>
      </c>
    </row>
    <row r="68" spans="2:9" x14ac:dyDescent="0.25">
      <c r="B68" s="28">
        <f>Quantitativo!Q6</f>
        <v>0</v>
      </c>
      <c r="C68" s="28"/>
      <c r="D68" s="28"/>
      <c r="E68" s="28"/>
      <c r="F68" s="28"/>
      <c r="G68" s="29"/>
      <c r="H68" s="30">
        <f>Quantitativo!T6</f>
        <v>0</v>
      </c>
      <c r="I68" s="31">
        <f t="shared" si="3"/>
        <v>0</v>
      </c>
    </row>
    <row r="69" spans="2:9" x14ac:dyDescent="0.25">
      <c r="B69" s="28">
        <f>Quantitativo!Q7</f>
        <v>0</v>
      </c>
      <c r="C69" s="28"/>
      <c r="D69" s="28"/>
      <c r="E69" s="28"/>
      <c r="F69" s="28"/>
      <c r="G69" s="29"/>
      <c r="H69" s="30">
        <f>Quantitativo!T7</f>
        <v>0</v>
      </c>
      <c r="I69" s="31">
        <f t="shared" si="3"/>
        <v>0</v>
      </c>
    </row>
    <row r="70" spans="2:9" x14ac:dyDescent="0.25">
      <c r="B70" s="28">
        <f>Quantitativo!Q8</f>
        <v>0</v>
      </c>
      <c r="C70" s="28"/>
      <c r="D70" s="28"/>
      <c r="E70" s="28"/>
      <c r="F70" s="28"/>
      <c r="G70" s="29"/>
      <c r="H70" s="30">
        <f>Quantitativo!T8</f>
        <v>0</v>
      </c>
      <c r="I70" s="31">
        <f t="shared" si="3"/>
        <v>0</v>
      </c>
    </row>
    <row r="71" spans="2:9" x14ac:dyDescent="0.25">
      <c r="B71" s="28">
        <f>Quantitativo!Q9</f>
        <v>0</v>
      </c>
      <c r="C71" s="28"/>
      <c r="D71" s="28"/>
      <c r="E71" s="28"/>
      <c r="F71" s="28"/>
      <c r="G71" s="29"/>
      <c r="H71" s="30">
        <f>Quantitativo!T9</f>
        <v>0</v>
      </c>
      <c r="I71" s="31">
        <f t="shared" si="3"/>
        <v>0</v>
      </c>
    </row>
    <row r="72" spans="2:9" x14ac:dyDescent="0.25">
      <c r="B72" s="28">
        <f>Quantitativo!Q10</f>
        <v>0</v>
      </c>
      <c r="C72" s="28"/>
      <c r="D72" s="28"/>
      <c r="E72" s="28"/>
      <c r="F72" s="28"/>
      <c r="G72" s="29"/>
      <c r="H72" s="30">
        <f>Quantitativo!T10</f>
        <v>0</v>
      </c>
      <c r="I72" s="31">
        <f t="shared" si="3"/>
        <v>0</v>
      </c>
    </row>
    <row r="73" spans="2:9" x14ac:dyDescent="0.25">
      <c r="B73" s="28">
        <f>Quantitativo!Q11</f>
        <v>0</v>
      </c>
      <c r="C73" s="28"/>
      <c r="D73" s="28"/>
      <c r="E73" s="28"/>
      <c r="F73" s="28"/>
      <c r="G73" s="29"/>
      <c r="H73" s="30">
        <f>Quantitativo!T11</f>
        <v>0</v>
      </c>
      <c r="I73" s="31">
        <f t="shared" si="3"/>
        <v>0</v>
      </c>
    </row>
    <row r="74" spans="2:9" x14ac:dyDescent="0.25">
      <c r="B74" s="28">
        <f>Quantitativo!Q12</f>
        <v>0</v>
      </c>
      <c r="C74" s="28"/>
      <c r="D74" s="28"/>
      <c r="E74" s="28"/>
      <c r="F74" s="28"/>
      <c r="G74" s="29"/>
      <c r="H74" s="30">
        <f>Quantitativo!T12</f>
        <v>0</v>
      </c>
      <c r="I74" s="31">
        <f t="shared" si="3"/>
        <v>0</v>
      </c>
    </row>
    <row r="75" spans="2:9" x14ac:dyDescent="0.25">
      <c r="B75" s="28">
        <f>Quantitativo!Q13</f>
        <v>0</v>
      </c>
      <c r="C75" s="28"/>
      <c r="D75" s="28"/>
      <c r="E75" s="28"/>
      <c r="F75" s="28"/>
      <c r="G75" s="29"/>
      <c r="H75" s="30">
        <f>Quantitativo!T13</f>
        <v>0</v>
      </c>
      <c r="I75" s="31">
        <f t="shared" si="3"/>
        <v>0</v>
      </c>
    </row>
    <row r="76" spans="2:9" x14ac:dyDescent="0.25">
      <c r="B76" s="28">
        <f>Quantitativo!Q14</f>
        <v>0</v>
      </c>
      <c r="C76" s="28"/>
      <c r="D76" s="28"/>
      <c r="E76" s="28"/>
      <c r="F76" s="28"/>
      <c r="G76" s="29"/>
      <c r="H76" s="30">
        <f>Quantitativo!T14</f>
        <v>0</v>
      </c>
      <c r="I76" s="31">
        <f t="shared" si="3"/>
        <v>0</v>
      </c>
    </row>
    <row r="77" spans="2:9" x14ac:dyDescent="0.25">
      <c r="B77" s="28">
        <f>Quantitativo!Q15</f>
        <v>0</v>
      </c>
      <c r="C77" s="28"/>
      <c r="D77" s="28"/>
      <c r="E77" s="28"/>
      <c r="F77" s="28"/>
      <c r="G77" s="29"/>
      <c r="H77" s="30">
        <f>Quantitativo!T15</f>
        <v>0</v>
      </c>
      <c r="I77" s="31">
        <f t="shared" si="3"/>
        <v>0</v>
      </c>
    </row>
    <row r="79" spans="2:9" ht="20.25" x14ac:dyDescent="0.3">
      <c r="B79" s="21"/>
      <c r="C79" s="75" t="s">
        <v>56</v>
      </c>
      <c r="D79" s="75"/>
      <c r="E79" s="15"/>
      <c r="F79" s="15"/>
      <c r="G79" s="15"/>
      <c r="H79" s="15"/>
      <c r="I79" s="22"/>
    </row>
    <row r="80" spans="2:9" x14ac:dyDescent="0.25">
      <c r="B80" s="23" t="s">
        <v>78</v>
      </c>
      <c r="C80" s="24"/>
      <c r="D80" s="24"/>
      <c r="E80" s="24"/>
      <c r="F80" s="24"/>
      <c r="G80" s="25" t="s">
        <v>79</v>
      </c>
      <c r="H80" s="26" t="s">
        <v>80</v>
      </c>
      <c r="I80" s="27" t="s">
        <v>81</v>
      </c>
    </row>
    <row r="81" spans="2:9" x14ac:dyDescent="0.25">
      <c r="B81" s="28">
        <f>Quantitativo!V3</f>
        <v>0</v>
      </c>
      <c r="C81" s="28"/>
      <c r="D81" s="28"/>
      <c r="E81" s="28"/>
      <c r="F81" s="28"/>
      <c r="G81" s="29"/>
      <c r="H81" s="30">
        <f>Quantitativo!Y3</f>
        <v>0</v>
      </c>
      <c r="I81" s="31">
        <f>G81*H81</f>
        <v>0</v>
      </c>
    </row>
    <row r="82" spans="2:9" x14ac:dyDescent="0.25">
      <c r="B82" s="28">
        <f>Quantitativo!V4</f>
        <v>0</v>
      </c>
      <c r="C82" s="28"/>
      <c r="D82" s="28"/>
      <c r="E82" s="28"/>
      <c r="F82" s="28"/>
      <c r="G82" s="29"/>
      <c r="H82" s="30">
        <f>Quantitativo!Y4</f>
        <v>0</v>
      </c>
      <c r="I82" s="31">
        <f t="shared" ref="I82:I93" si="4">G82*H82</f>
        <v>0</v>
      </c>
    </row>
    <row r="83" spans="2:9" x14ac:dyDescent="0.25">
      <c r="B83" s="28">
        <f>Quantitativo!V5</f>
        <v>0</v>
      </c>
      <c r="C83" s="28"/>
      <c r="D83" s="28"/>
      <c r="E83" s="28"/>
      <c r="F83" s="28"/>
      <c r="G83" s="29"/>
      <c r="H83" s="30">
        <f>Quantitativo!Y5</f>
        <v>0</v>
      </c>
      <c r="I83" s="31">
        <f t="shared" si="4"/>
        <v>0</v>
      </c>
    </row>
    <row r="84" spans="2:9" x14ac:dyDescent="0.25">
      <c r="B84" s="28">
        <f>Quantitativo!V6</f>
        <v>0</v>
      </c>
      <c r="C84" s="28"/>
      <c r="D84" s="28"/>
      <c r="E84" s="28"/>
      <c r="F84" s="28"/>
      <c r="G84" s="29"/>
      <c r="H84" s="30">
        <f>Quantitativo!Y6</f>
        <v>0</v>
      </c>
      <c r="I84" s="31">
        <f t="shared" si="4"/>
        <v>0</v>
      </c>
    </row>
    <row r="85" spans="2:9" x14ac:dyDescent="0.25">
      <c r="B85" s="28">
        <f>Quantitativo!V7</f>
        <v>0</v>
      </c>
      <c r="C85" s="28"/>
      <c r="D85" s="28"/>
      <c r="E85" s="28"/>
      <c r="F85" s="28"/>
      <c r="G85" s="29"/>
      <c r="H85" s="30">
        <f>Quantitativo!Y7</f>
        <v>0</v>
      </c>
      <c r="I85" s="31">
        <f t="shared" si="4"/>
        <v>0</v>
      </c>
    </row>
    <row r="86" spans="2:9" x14ac:dyDescent="0.25">
      <c r="B86" s="28">
        <f>Quantitativo!V8</f>
        <v>0</v>
      </c>
      <c r="C86" s="28"/>
      <c r="D86" s="28"/>
      <c r="E86" s="28"/>
      <c r="F86" s="28"/>
      <c r="G86" s="29"/>
      <c r="H86" s="30">
        <f>Quantitativo!Y8</f>
        <v>0</v>
      </c>
      <c r="I86" s="31">
        <f t="shared" si="4"/>
        <v>0</v>
      </c>
    </row>
    <row r="87" spans="2:9" x14ac:dyDescent="0.25">
      <c r="B87" s="28">
        <f>Quantitativo!V9</f>
        <v>0</v>
      </c>
      <c r="C87" s="28"/>
      <c r="D87" s="28"/>
      <c r="E87" s="28"/>
      <c r="F87" s="28"/>
      <c r="G87" s="29"/>
      <c r="H87" s="30">
        <f>Quantitativo!Y9</f>
        <v>0</v>
      </c>
      <c r="I87" s="31">
        <f t="shared" si="4"/>
        <v>0</v>
      </c>
    </row>
    <row r="88" spans="2:9" x14ac:dyDescent="0.25">
      <c r="B88" s="28">
        <f>Quantitativo!V10</f>
        <v>0</v>
      </c>
      <c r="C88" s="28"/>
      <c r="D88" s="28"/>
      <c r="E88" s="28"/>
      <c r="F88" s="28"/>
      <c r="G88" s="29"/>
      <c r="H88" s="30">
        <f>Quantitativo!Y10</f>
        <v>0</v>
      </c>
      <c r="I88" s="31">
        <f t="shared" si="4"/>
        <v>0</v>
      </c>
    </row>
    <row r="89" spans="2:9" x14ac:dyDescent="0.25">
      <c r="B89" s="28">
        <f>Quantitativo!V11</f>
        <v>0</v>
      </c>
      <c r="C89" s="28"/>
      <c r="D89" s="28"/>
      <c r="E89" s="28"/>
      <c r="F89" s="28"/>
      <c r="G89" s="29"/>
      <c r="H89" s="30">
        <f>Quantitativo!Y11</f>
        <v>0</v>
      </c>
      <c r="I89" s="31">
        <f t="shared" si="4"/>
        <v>0</v>
      </c>
    </row>
    <row r="90" spans="2:9" x14ac:dyDescent="0.25">
      <c r="B90" s="28">
        <f>Quantitativo!V12</f>
        <v>0</v>
      </c>
      <c r="C90" s="28"/>
      <c r="D90" s="28"/>
      <c r="E90" s="28"/>
      <c r="F90" s="28"/>
      <c r="G90" s="29"/>
      <c r="H90" s="30">
        <f>Quantitativo!Y12</f>
        <v>0</v>
      </c>
      <c r="I90" s="31">
        <f t="shared" si="4"/>
        <v>0</v>
      </c>
    </row>
    <row r="91" spans="2:9" x14ac:dyDescent="0.25">
      <c r="B91" s="28">
        <f>Quantitativo!V13</f>
        <v>0</v>
      </c>
      <c r="C91" s="28"/>
      <c r="D91" s="28"/>
      <c r="E91" s="28"/>
      <c r="F91" s="28"/>
      <c r="G91" s="29"/>
      <c r="H91" s="30">
        <f>Quantitativo!Y13</f>
        <v>0</v>
      </c>
      <c r="I91" s="31">
        <f t="shared" si="4"/>
        <v>0</v>
      </c>
    </row>
    <row r="92" spans="2:9" x14ac:dyDescent="0.25">
      <c r="B92" s="28">
        <f>Quantitativo!V14</f>
        <v>0</v>
      </c>
      <c r="C92" s="28"/>
      <c r="D92" s="28"/>
      <c r="E92" s="28"/>
      <c r="F92" s="28"/>
      <c r="G92" s="29"/>
      <c r="H92" s="30">
        <f>Quantitativo!Y14</f>
        <v>0</v>
      </c>
      <c r="I92" s="31">
        <f t="shared" si="4"/>
        <v>0</v>
      </c>
    </row>
    <row r="93" spans="2:9" x14ac:dyDescent="0.25">
      <c r="B93" s="28">
        <f>Quantitativo!V15</f>
        <v>0</v>
      </c>
      <c r="C93" s="28"/>
      <c r="D93" s="28"/>
      <c r="E93" s="28"/>
      <c r="F93" s="28"/>
      <c r="G93" s="29"/>
      <c r="H93" s="30">
        <f>Quantitativo!Y15</f>
        <v>0</v>
      </c>
      <c r="I93" s="31">
        <f t="shared" si="4"/>
        <v>0</v>
      </c>
    </row>
    <row r="95" spans="2:9" ht="20.25" x14ac:dyDescent="0.3">
      <c r="B95" s="21"/>
      <c r="C95" s="75" t="s">
        <v>61</v>
      </c>
      <c r="D95" s="75"/>
      <c r="E95" s="15"/>
      <c r="F95" s="15"/>
      <c r="G95" s="15"/>
      <c r="H95" s="15"/>
      <c r="I95" s="22"/>
    </row>
    <row r="96" spans="2:9" x14ac:dyDescent="0.25">
      <c r="B96" s="23" t="s">
        <v>78</v>
      </c>
      <c r="C96" s="24"/>
      <c r="D96" s="24"/>
      <c r="E96" s="24"/>
      <c r="F96" s="24"/>
      <c r="G96" s="25" t="s">
        <v>79</v>
      </c>
      <c r="H96" s="26" t="s">
        <v>80</v>
      </c>
      <c r="I96" s="27" t="s">
        <v>81</v>
      </c>
    </row>
    <row r="97" spans="2:9" x14ac:dyDescent="0.25">
      <c r="B97" s="28">
        <f>Quantitativo!AA3</f>
        <v>0</v>
      </c>
      <c r="C97" s="28"/>
      <c r="D97" s="28"/>
      <c r="E97" s="28"/>
      <c r="F97" s="28"/>
      <c r="G97" s="29"/>
      <c r="H97" s="30">
        <f>Quantitativo!AD3</f>
        <v>0</v>
      </c>
      <c r="I97" s="31">
        <f>G97*H97</f>
        <v>0</v>
      </c>
    </row>
    <row r="98" spans="2:9" x14ac:dyDescent="0.25">
      <c r="B98" s="28">
        <f>Quantitativo!AA4</f>
        <v>0</v>
      </c>
      <c r="C98" s="28"/>
      <c r="D98" s="28"/>
      <c r="E98" s="28"/>
      <c r="F98" s="28"/>
      <c r="G98" s="29"/>
      <c r="H98" s="30">
        <f>Quantitativo!AD4</f>
        <v>0</v>
      </c>
      <c r="I98" s="31">
        <f t="shared" ref="I98:I109" si="5">G98*H98</f>
        <v>0</v>
      </c>
    </row>
    <row r="99" spans="2:9" x14ac:dyDescent="0.25">
      <c r="B99" s="28">
        <f>Quantitativo!AA5</f>
        <v>0</v>
      </c>
      <c r="C99" s="28"/>
      <c r="D99" s="28"/>
      <c r="E99" s="28"/>
      <c r="F99" s="28"/>
      <c r="G99" s="29"/>
      <c r="H99" s="30">
        <f>Quantitativo!AD5</f>
        <v>0</v>
      </c>
      <c r="I99" s="31">
        <f t="shared" si="5"/>
        <v>0</v>
      </c>
    </row>
    <row r="100" spans="2:9" x14ac:dyDescent="0.25">
      <c r="B100" s="28">
        <f>Quantitativo!AA6</f>
        <v>0</v>
      </c>
      <c r="C100" s="28"/>
      <c r="D100" s="28"/>
      <c r="E100" s="28"/>
      <c r="F100" s="28"/>
      <c r="G100" s="29"/>
      <c r="H100" s="30">
        <f>Quantitativo!AD6</f>
        <v>0</v>
      </c>
      <c r="I100" s="31">
        <f t="shared" si="5"/>
        <v>0</v>
      </c>
    </row>
    <row r="101" spans="2:9" x14ac:dyDescent="0.25">
      <c r="B101" s="28">
        <f>Quantitativo!AA7</f>
        <v>0</v>
      </c>
      <c r="C101" s="28"/>
      <c r="D101" s="28"/>
      <c r="E101" s="28"/>
      <c r="F101" s="28"/>
      <c r="G101" s="29"/>
      <c r="H101" s="30">
        <f>Quantitativo!AD7</f>
        <v>0</v>
      </c>
      <c r="I101" s="31">
        <f t="shared" si="5"/>
        <v>0</v>
      </c>
    </row>
    <row r="102" spans="2:9" x14ac:dyDescent="0.25">
      <c r="B102" s="28">
        <f>Quantitativo!AA8</f>
        <v>0</v>
      </c>
      <c r="C102" s="28"/>
      <c r="D102" s="28"/>
      <c r="E102" s="28"/>
      <c r="F102" s="28"/>
      <c r="G102" s="29"/>
      <c r="H102" s="30">
        <f>Quantitativo!AD8</f>
        <v>0</v>
      </c>
      <c r="I102" s="31">
        <f t="shared" si="5"/>
        <v>0</v>
      </c>
    </row>
    <row r="103" spans="2:9" x14ac:dyDescent="0.25">
      <c r="B103" s="28">
        <f>Quantitativo!AA9</f>
        <v>0</v>
      </c>
      <c r="C103" s="28"/>
      <c r="D103" s="28"/>
      <c r="E103" s="28"/>
      <c r="F103" s="28"/>
      <c r="G103" s="29"/>
      <c r="H103" s="30">
        <f>Quantitativo!AD9</f>
        <v>0</v>
      </c>
      <c r="I103" s="31">
        <f t="shared" si="5"/>
        <v>0</v>
      </c>
    </row>
    <row r="104" spans="2:9" x14ac:dyDescent="0.25">
      <c r="B104" s="28">
        <f>Quantitativo!AA10</f>
        <v>0</v>
      </c>
      <c r="C104" s="28"/>
      <c r="D104" s="28"/>
      <c r="E104" s="28"/>
      <c r="F104" s="28"/>
      <c r="G104" s="29"/>
      <c r="H104" s="30">
        <f>Quantitativo!AD10</f>
        <v>0</v>
      </c>
      <c r="I104" s="31">
        <f t="shared" si="5"/>
        <v>0</v>
      </c>
    </row>
    <row r="105" spans="2:9" x14ac:dyDescent="0.25">
      <c r="B105" s="28">
        <f>Quantitativo!AA11</f>
        <v>0</v>
      </c>
      <c r="C105" s="28"/>
      <c r="D105" s="28"/>
      <c r="E105" s="28"/>
      <c r="F105" s="28"/>
      <c r="G105" s="29"/>
      <c r="H105" s="30">
        <f>Quantitativo!AD11</f>
        <v>0</v>
      </c>
      <c r="I105" s="31">
        <f t="shared" si="5"/>
        <v>0</v>
      </c>
    </row>
    <row r="106" spans="2:9" x14ac:dyDescent="0.25">
      <c r="B106" s="28">
        <f>Quantitativo!AA12</f>
        <v>0</v>
      </c>
      <c r="C106" s="28"/>
      <c r="D106" s="28"/>
      <c r="E106" s="28"/>
      <c r="F106" s="28"/>
      <c r="G106" s="29"/>
      <c r="H106" s="30">
        <f>Quantitativo!AD12</f>
        <v>0</v>
      </c>
      <c r="I106" s="31">
        <f t="shared" si="5"/>
        <v>0</v>
      </c>
    </row>
    <row r="107" spans="2:9" x14ac:dyDescent="0.25">
      <c r="B107" s="28">
        <f>Quantitativo!AA13</f>
        <v>0</v>
      </c>
      <c r="C107" s="28"/>
      <c r="D107" s="28"/>
      <c r="E107" s="28"/>
      <c r="F107" s="28"/>
      <c r="G107" s="29"/>
      <c r="H107" s="30">
        <f>Quantitativo!AD13</f>
        <v>0</v>
      </c>
      <c r="I107" s="31">
        <f t="shared" si="5"/>
        <v>0</v>
      </c>
    </row>
    <row r="108" spans="2:9" x14ac:dyDescent="0.25">
      <c r="B108" s="28">
        <f>Quantitativo!AA14</f>
        <v>0</v>
      </c>
      <c r="C108" s="28"/>
      <c r="D108" s="28"/>
      <c r="E108" s="28"/>
      <c r="F108" s="28"/>
      <c r="G108" s="29"/>
      <c r="H108" s="30">
        <f>Quantitativo!AD14</f>
        <v>0</v>
      </c>
      <c r="I108" s="31">
        <f t="shared" si="5"/>
        <v>0</v>
      </c>
    </row>
    <row r="109" spans="2:9" x14ac:dyDescent="0.25">
      <c r="B109" s="28">
        <f>Quantitativo!AA15</f>
        <v>0</v>
      </c>
      <c r="C109" s="28"/>
      <c r="D109" s="28"/>
      <c r="E109" s="28"/>
      <c r="F109" s="28"/>
      <c r="G109" s="29"/>
      <c r="H109" s="30">
        <f>Quantitativo!AD15</f>
        <v>0</v>
      </c>
      <c r="I109" s="31">
        <f t="shared" si="5"/>
        <v>0</v>
      </c>
    </row>
    <row r="111" spans="2:9" ht="20.25" x14ac:dyDescent="0.3">
      <c r="B111" s="21"/>
      <c r="C111" s="75" t="s">
        <v>60</v>
      </c>
      <c r="D111" s="75"/>
      <c r="E111" s="15"/>
      <c r="F111" s="15"/>
      <c r="G111" s="15"/>
      <c r="H111" s="15"/>
      <c r="I111" s="22"/>
    </row>
    <row r="112" spans="2:9" x14ac:dyDescent="0.25">
      <c r="B112" s="23" t="s">
        <v>78</v>
      </c>
      <c r="C112" s="24"/>
      <c r="D112" s="24"/>
      <c r="E112" s="24"/>
      <c r="F112" s="24"/>
      <c r="G112" s="25" t="s">
        <v>79</v>
      </c>
      <c r="H112" s="26" t="s">
        <v>80</v>
      </c>
      <c r="I112" s="27" t="s">
        <v>81</v>
      </c>
    </row>
    <row r="113" spans="2:9" x14ac:dyDescent="0.25">
      <c r="B113" s="28">
        <f>Quantitativo!AF3</f>
        <v>0</v>
      </c>
      <c r="C113" s="28"/>
      <c r="D113" s="28"/>
      <c r="E113" s="28"/>
      <c r="F113" s="28"/>
      <c r="G113" s="29"/>
      <c r="H113" s="30">
        <f>Quantitativo!AI3</f>
        <v>0</v>
      </c>
      <c r="I113" s="31">
        <f>G113*H113</f>
        <v>0</v>
      </c>
    </row>
    <row r="114" spans="2:9" x14ac:dyDescent="0.25">
      <c r="B114" s="28">
        <f>Quantitativo!AF4</f>
        <v>0</v>
      </c>
      <c r="C114" s="28"/>
      <c r="D114" s="28"/>
      <c r="E114" s="28"/>
      <c r="F114" s="28"/>
      <c r="G114" s="29"/>
      <c r="H114" s="30">
        <f>Quantitativo!AI4</f>
        <v>0</v>
      </c>
      <c r="I114" s="31">
        <f t="shared" ref="I114:I125" si="6">G114*H114</f>
        <v>0</v>
      </c>
    </row>
    <row r="115" spans="2:9" x14ac:dyDescent="0.25">
      <c r="B115" s="28">
        <f>Quantitativo!AF5</f>
        <v>0</v>
      </c>
      <c r="C115" s="28"/>
      <c r="D115" s="28"/>
      <c r="E115" s="28"/>
      <c r="F115" s="28"/>
      <c r="G115" s="29"/>
      <c r="H115" s="30">
        <f>Quantitativo!AI5</f>
        <v>0</v>
      </c>
      <c r="I115" s="31">
        <f t="shared" si="6"/>
        <v>0</v>
      </c>
    </row>
    <row r="116" spans="2:9" x14ac:dyDescent="0.25">
      <c r="B116" s="28">
        <f>Quantitativo!AF6</f>
        <v>0</v>
      </c>
      <c r="C116" s="28"/>
      <c r="D116" s="28"/>
      <c r="E116" s="28"/>
      <c r="F116" s="28"/>
      <c r="G116" s="29"/>
      <c r="H116" s="30">
        <f>Quantitativo!AI6</f>
        <v>0</v>
      </c>
      <c r="I116" s="31">
        <f t="shared" si="6"/>
        <v>0</v>
      </c>
    </row>
    <row r="117" spans="2:9" x14ac:dyDescent="0.25">
      <c r="B117" s="28">
        <f>Quantitativo!AF7</f>
        <v>0</v>
      </c>
      <c r="C117" s="28"/>
      <c r="D117" s="28"/>
      <c r="E117" s="28"/>
      <c r="F117" s="28"/>
      <c r="G117" s="29"/>
      <c r="H117" s="30">
        <f>Quantitativo!AI7</f>
        <v>0</v>
      </c>
      <c r="I117" s="31">
        <f t="shared" si="6"/>
        <v>0</v>
      </c>
    </row>
    <row r="118" spans="2:9" x14ac:dyDescent="0.25">
      <c r="B118" s="28">
        <f>Quantitativo!AF8</f>
        <v>0</v>
      </c>
      <c r="C118" s="28"/>
      <c r="D118" s="28"/>
      <c r="E118" s="28"/>
      <c r="F118" s="28"/>
      <c r="G118" s="29"/>
      <c r="H118" s="30">
        <f>Quantitativo!AI8</f>
        <v>0</v>
      </c>
      <c r="I118" s="31">
        <f t="shared" si="6"/>
        <v>0</v>
      </c>
    </row>
    <row r="119" spans="2:9" x14ac:dyDescent="0.25">
      <c r="B119" s="28">
        <f>Quantitativo!AF9</f>
        <v>0</v>
      </c>
      <c r="C119" s="28"/>
      <c r="D119" s="28"/>
      <c r="E119" s="28"/>
      <c r="F119" s="28"/>
      <c r="G119" s="29"/>
      <c r="H119" s="30">
        <f>Quantitativo!AI9</f>
        <v>0</v>
      </c>
      <c r="I119" s="31">
        <f t="shared" si="6"/>
        <v>0</v>
      </c>
    </row>
    <row r="120" spans="2:9" x14ac:dyDescent="0.25">
      <c r="B120" s="28">
        <f>Quantitativo!AF10</f>
        <v>0</v>
      </c>
      <c r="C120" s="28"/>
      <c r="D120" s="28"/>
      <c r="E120" s="28"/>
      <c r="F120" s="28"/>
      <c r="G120" s="29"/>
      <c r="H120" s="30">
        <f>Quantitativo!AI10</f>
        <v>0</v>
      </c>
      <c r="I120" s="31">
        <f t="shared" si="6"/>
        <v>0</v>
      </c>
    </row>
    <row r="121" spans="2:9" x14ac:dyDescent="0.25">
      <c r="B121" s="28">
        <f>Quantitativo!AF11</f>
        <v>0</v>
      </c>
      <c r="C121" s="28"/>
      <c r="D121" s="28"/>
      <c r="E121" s="28"/>
      <c r="F121" s="28"/>
      <c r="G121" s="29"/>
      <c r="H121" s="30">
        <f>Quantitativo!AI11</f>
        <v>0</v>
      </c>
      <c r="I121" s="31">
        <f t="shared" si="6"/>
        <v>0</v>
      </c>
    </row>
    <row r="122" spans="2:9" x14ac:dyDescent="0.25">
      <c r="B122" s="28">
        <f>Quantitativo!AF12</f>
        <v>0</v>
      </c>
      <c r="C122" s="28"/>
      <c r="D122" s="28"/>
      <c r="E122" s="28"/>
      <c r="F122" s="28"/>
      <c r="G122" s="29"/>
      <c r="H122" s="30">
        <f>Quantitativo!AI12</f>
        <v>0</v>
      </c>
      <c r="I122" s="31">
        <f t="shared" si="6"/>
        <v>0</v>
      </c>
    </row>
    <row r="123" spans="2:9" x14ac:dyDescent="0.25">
      <c r="B123" s="28">
        <f>Quantitativo!AF13</f>
        <v>0</v>
      </c>
      <c r="C123" s="28"/>
      <c r="D123" s="28"/>
      <c r="E123" s="28"/>
      <c r="F123" s="28"/>
      <c r="G123" s="29"/>
      <c r="H123" s="30">
        <f>Quantitativo!AI13</f>
        <v>0</v>
      </c>
      <c r="I123" s="31">
        <f t="shared" si="6"/>
        <v>0</v>
      </c>
    </row>
    <row r="124" spans="2:9" x14ac:dyDescent="0.25">
      <c r="B124" s="28">
        <f>Quantitativo!AF14</f>
        <v>0</v>
      </c>
      <c r="C124" s="28"/>
      <c r="D124" s="28"/>
      <c r="E124" s="28"/>
      <c r="F124" s="28"/>
      <c r="G124" s="29"/>
      <c r="H124" s="30">
        <f>Quantitativo!AI14</f>
        <v>0</v>
      </c>
      <c r="I124" s="31">
        <f t="shared" si="6"/>
        <v>0</v>
      </c>
    </row>
    <row r="125" spans="2:9" x14ac:dyDescent="0.25">
      <c r="B125" s="28">
        <f>Quantitativo!AF15</f>
        <v>0</v>
      </c>
      <c r="C125" s="28"/>
      <c r="D125" s="28"/>
      <c r="E125" s="28"/>
      <c r="F125" s="28"/>
      <c r="G125" s="29"/>
      <c r="H125" s="30">
        <f>Quantitativo!AI15</f>
        <v>0</v>
      </c>
      <c r="I125" s="31">
        <f t="shared" si="6"/>
        <v>0</v>
      </c>
    </row>
    <row r="127" spans="2:9" ht="20.25" x14ac:dyDescent="0.3">
      <c r="B127" s="21"/>
      <c r="C127" s="75" t="s">
        <v>63</v>
      </c>
      <c r="D127" s="75"/>
      <c r="E127" s="15"/>
      <c r="F127" s="15"/>
      <c r="G127" s="15"/>
      <c r="H127" s="15"/>
      <c r="I127" s="22"/>
    </row>
    <row r="128" spans="2:9" x14ac:dyDescent="0.25">
      <c r="B128" s="23" t="s">
        <v>78</v>
      </c>
      <c r="C128" s="24"/>
      <c r="D128" s="24"/>
      <c r="E128" s="24"/>
      <c r="F128" s="24"/>
      <c r="G128" s="25" t="s">
        <v>79</v>
      </c>
      <c r="H128" s="26" t="s">
        <v>80</v>
      </c>
      <c r="I128" s="27" t="s">
        <v>81</v>
      </c>
    </row>
    <row r="129" spans="2:9" x14ac:dyDescent="0.25">
      <c r="B129" s="28">
        <f>Quantitativo!AK3</f>
        <v>0</v>
      </c>
      <c r="C129" s="28"/>
      <c r="D129" s="28"/>
      <c r="E129" s="28"/>
      <c r="F129" s="28"/>
      <c r="G129" s="29"/>
      <c r="H129" s="30">
        <f>Quantitativo!AN3</f>
        <v>0</v>
      </c>
      <c r="I129" s="31">
        <f>G129*H129</f>
        <v>0</v>
      </c>
    </row>
    <row r="130" spans="2:9" x14ac:dyDescent="0.25">
      <c r="B130" s="28">
        <f>Quantitativo!AK4</f>
        <v>0</v>
      </c>
      <c r="C130" s="28"/>
      <c r="D130" s="28"/>
      <c r="E130" s="28"/>
      <c r="F130" s="28"/>
      <c r="G130" s="29"/>
      <c r="H130" s="30">
        <f>Quantitativo!AN4</f>
        <v>0</v>
      </c>
      <c r="I130" s="31">
        <f t="shared" ref="I130:I141" si="7">G130*H130</f>
        <v>0</v>
      </c>
    </row>
    <row r="131" spans="2:9" x14ac:dyDescent="0.25">
      <c r="B131" s="28">
        <f>Quantitativo!AK5</f>
        <v>0</v>
      </c>
      <c r="C131" s="28"/>
      <c r="D131" s="28"/>
      <c r="E131" s="28"/>
      <c r="F131" s="28"/>
      <c r="G131" s="29"/>
      <c r="H131" s="30">
        <f>Quantitativo!AN5</f>
        <v>0</v>
      </c>
      <c r="I131" s="31">
        <f t="shared" si="7"/>
        <v>0</v>
      </c>
    </row>
    <row r="132" spans="2:9" x14ac:dyDescent="0.25">
      <c r="B132" s="28">
        <f>Quantitativo!AK6</f>
        <v>0</v>
      </c>
      <c r="C132" s="28"/>
      <c r="D132" s="28"/>
      <c r="E132" s="28"/>
      <c r="F132" s="28"/>
      <c r="G132" s="29"/>
      <c r="H132" s="30">
        <f>Quantitativo!AN6</f>
        <v>0</v>
      </c>
      <c r="I132" s="31">
        <f t="shared" si="7"/>
        <v>0</v>
      </c>
    </row>
    <row r="133" spans="2:9" x14ac:dyDescent="0.25">
      <c r="B133" s="28">
        <f>Quantitativo!AK7</f>
        <v>0</v>
      </c>
      <c r="C133" s="28"/>
      <c r="D133" s="28"/>
      <c r="E133" s="28"/>
      <c r="F133" s="28"/>
      <c r="G133" s="29"/>
      <c r="H133" s="30">
        <f>Quantitativo!AN7</f>
        <v>0</v>
      </c>
      <c r="I133" s="31">
        <f t="shared" si="7"/>
        <v>0</v>
      </c>
    </row>
    <row r="134" spans="2:9" x14ac:dyDescent="0.25">
      <c r="B134" s="28">
        <f>Quantitativo!AK8</f>
        <v>0</v>
      </c>
      <c r="C134" s="28"/>
      <c r="D134" s="28"/>
      <c r="E134" s="28"/>
      <c r="F134" s="28"/>
      <c r="G134" s="29"/>
      <c r="H134" s="30">
        <f>Quantitativo!AN8</f>
        <v>0</v>
      </c>
      <c r="I134" s="31">
        <f t="shared" si="7"/>
        <v>0</v>
      </c>
    </row>
    <row r="135" spans="2:9" x14ac:dyDescent="0.25">
      <c r="B135" s="28">
        <f>Quantitativo!AK9</f>
        <v>0</v>
      </c>
      <c r="C135" s="28"/>
      <c r="D135" s="28"/>
      <c r="E135" s="28"/>
      <c r="F135" s="28"/>
      <c r="G135" s="29"/>
      <c r="H135" s="30">
        <f>Quantitativo!AN9</f>
        <v>0</v>
      </c>
      <c r="I135" s="31">
        <f t="shared" si="7"/>
        <v>0</v>
      </c>
    </row>
    <row r="136" spans="2:9" x14ac:dyDescent="0.25">
      <c r="B136" s="28">
        <f>Quantitativo!AK10</f>
        <v>0</v>
      </c>
      <c r="C136" s="28"/>
      <c r="D136" s="28"/>
      <c r="E136" s="28"/>
      <c r="F136" s="28"/>
      <c r="G136" s="29"/>
      <c r="H136" s="30">
        <f>Quantitativo!AN10</f>
        <v>0</v>
      </c>
      <c r="I136" s="31">
        <f t="shared" si="7"/>
        <v>0</v>
      </c>
    </row>
    <row r="137" spans="2:9" x14ac:dyDescent="0.25">
      <c r="B137" s="28">
        <f>Quantitativo!AK11</f>
        <v>0</v>
      </c>
      <c r="C137" s="28"/>
      <c r="D137" s="28"/>
      <c r="E137" s="28"/>
      <c r="F137" s="28"/>
      <c r="G137" s="29"/>
      <c r="H137" s="30">
        <f>Quantitativo!AN11</f>
        <v>0</v>
      </c>
      <c r="I137" s="31">
        <f t="shared" si="7"/>
        <v>0</v>
      </c>
    </row>
    <row r="138" spans="2:9" x14ac:dyDescent="0.25">
      <c r="B138" s="28">
        <f>Quantitativo!AK12</f>
        <v>0</v>
      </c>
      <c r="C138" s="28"/>
      <c r="D138" s="28"/>
      <c r="E138" s="28"/>
      <c r="F138" s="28"/>
      <c r="G138" s="29"/>
      <c r="H138" s="30">
        <f>Quantitativo!AN12</f>
        <v>0</v>
      </c>
      <c r="I138" s="31">
        <f t="shared" si="7"/>
        <v>0</v>
      </c>
    </row>
    <row r="139" spans="2:9" x14ac:dyDescent="0.25">
      <c r="B139" s="28">
        <f>Quantitativo!AK13</f>
        <v>0</v>
      </c>
      <c r="C139" s="28"/>
      <c r="D139" s="28"/>
      <c r="E139" s="28"/>
      <c r="F139" s="28"/>
      <c r="G139" s="29"/>
      <c r="H139" s="30">
        <f>Quantitativo!AN13</f>
        <v>0</v>
      </c>
      <c r="I139" s="31">
        <f t="shared" si="7"/>
        <v>0</v>
      </c>
    </row>
    <row r="140" spans="2:9" x14ac:dyDescent="0.25">
      <c r="B140" s="28">
        <f>Quantitativo!AK14</f>
        <v>0</v>
      </c>
      <c r="C140" s="28"/>
      <c r="D140" s="28"/>
      <c r="E140" s="28"/>
      <c r="F140" s="28"/>
      <c r="G140" s="29"/>
      <c r="H140" s="30">
        <f>Quantitativo!AN14</f>
        <v>0</v>
      </c>
      <c r="I140" s="31">
        <f t="shared" si="7"/>
        <v>0</v>
      </c>
    </row>
    <row r="141" spans="2:9" x14ac:dyDescent="0.25">
      <c r="B141" s="28">
        <f>Quantitativo!AK15</f>
        <v>0</v>
      </c>
      <c r="C141" s="28"/>
      <c r="D141" s="28"/>
      <c r="E141" s="28"/>
      <c r="F141" s="28"/>
      <c r="G141" s="29"/>
      <c r="H141" s="30">
        <f>Quantitativo!AN15</f>
        <v>0</v>
      </c>
      <c r="I141" s="31">
        <f t="shared" si="7"/>
        <v>0</v>
      </c>
    </row>
    <row r="143" spans="2:9" ht="20.25" x14ac:dyDescent="0.3">
      <c r="B143" s="21"/>
      <c r="C143" s="75" t="s">
        <v>89</v>
      </c>
      <c r="D143" s="75"/>
      <c r="E143" s="15"/>
      <c r="F143" s="15"/>
      <c r="G143" s="15"/>
      <c r="H143" s="15"/>
      <c r="I143" s="22"/>
    </row>
    <row r="144" spans="2:9" x14ac:dyDescent="0.25">
      <c r="B144" s="23" t="s">
        <v>78</v>
      </c>
      <c r="C144" s="24"/>
      <c r="D144" s="24"/>
      <c r="E144" s="24"/>
      <c r="F144" s="24"/>
      <c r="G144" s="25" t="s">
        <v>79</v>
      </c>
      <c r="H144" s="26" t="s">
        <v>80</v>
      </c>
      <c r="I144" s="27" t="s">
        <v>81</v>
      </c>
    </row>
    <row r="145" spans="2:9" x14ac:dyDescent="0.25">
      <c r="B145" s="28" t="str">
        <f>Quantitativo!AP3</f>
        <v>QD</v>
      </c>
      <c r="C145" s="28"/>
      <c r="D145" s="28"/>
      <c r="E145" s="28"/>
      <c r="F145" s="28"/>
      <c r="G145" s="29"/>
      <c r="H145" s="30">
        <f>Quantitativo!AS3</f>
        <v>0</v>
      </c>
      <c r="I145" s="31">
        <f>G145*H145</f>
        <v>0</v>
      </c>
    </row>
    <row r="146" spans="2:9" x14ac:dyDescent="0.25">
      <c r="B146" s="28" t="str">
        <f>Quantitativo!AP4</f>
        <v>Haste de aterramento</v>
      </c>
      <c r="C146" s="28"/>
      <c r="D146" s="28"/>
      <c r="E146" s="28"/>
      <c r="F146" s="28"/>
      <c r="G146" s="29"/>
      <c r="H146" s="30">
        <f>Quantitativo!AS4</f>
        <v>0</v>
      </c>
      <c r="I146" s="31">
        <f t="shared" ref="I146:I157" si="8">G146*H146</f>
        <v>0</v>
      </c>
    </row>
    <row r="147" spans="2:9" x14ac:dyDescent="0.25">
      <c r="B147" s="28" t="str">
        <f>Quantitativo!AP5</f>
        <v>Padrão de entrada</v>
      </c>
      <c r="C147" s="28"/>
      <c r="D147" s="28"/>
      <c r="E147" s="28"/>
      <c r="F147" s="28"/>
      <c r="G147" s="29"/>
      <c r="H147" s="30">
        <f>Quantitativo!AS5</f>
        <v>0</v>
      </c>
      <c r="I147" s="31">
        <f t="shared" si="8"/>
        <v>0</v>
      </c>
    </row>
    <row r="148" spans="2:9" x14ac:dyDescent="0.25">
      <c r="B148" s="28">
        <f>Quantitativo!AP6</f>
        <v>0</v>
      </c>
      <c r="C148" s="28"/>
      <c r="D148" s="28"/>
      <c r="E148" s="28"/>
      <c r="F148" s="28"/>
      <c r="G148" s="29"/>
      <c r="H148" s="30">
        <f>Quantitativo!AS6</f>
        <v>0</v>
      </c>
      <c r="I148" s="31">
        <f t="shared" si="8"/>
        <v>0</v>
      </c>
    </row>
    <row r="149" spans="2:9" x14ac:dyDescent="0.25">
      <c r="B149" s="28">
        <f>Quantitativo!AP7</f>
        <v>0</v>
      </c>
      <c r="C149" s="28"/>
      <c r="D149" s="28"/>
      <c r="E149" s="28"/>
      <c r="F149" s="28"/>
      <c r="G149" s="29"/>
      <c r="H149" s="30">
        <f>Quantitativo!AS7</f>
        <v>0</v>
      </c>
      <c r="I149" s="31">
        <f t="shared" si="8"/>
        <v>0</v>
      </c>
    </row>
    <row r="150" spans="2:9" x14ac:dyDescent="0.25">
      <c r="B150" s="28">
        <f>Quantitativo!AP8</f>
        <v>0</v>
      </c>
      <c r="C150" s="28"/>
      <c r="D150" s="28"/>
      <c r="E150" s="28"/>
      <c r="F150" s="28"/>
      <c r="G150" s="29"/>
      <c r="H150" s="30">
        <f>Quantitativo!AS8</f>
        <v>0</v>
      </c>
      <c r="I150" s="31">
        <f t="shared" si="8"/>
        <v>0</v>
      </c>
    </row>
    <row r="151" spans="2:9" x14ac:dyDescent="0.25">
      <c r="B151" s="28">
        <f>Quantitativo!AP9</f>
        <v>0</v>
      </c>
      <c r="C151" s="28"/>
      <c r="D151" s="28"/>
      <c r="E151" s="28"/>
      <c r="F151" s="28"/>
      <c r="G151" s="29"/>
      <c r="H151" s="30">
        <f>Quantitativo!AS9</f>
        <v>0</v>
      </c>
      <c r="I151" s="31">
        <f t="shared" si="8"/>
        <v>0</v>
      </c>
    </row>
    <row r="152" spans="2:9" x14ac:dyDescent="0.25">
      <c r="B152" s="28">
        <f>Quantitativo!AP10</f>
        <v>0</v>
      </c>
      <c r="C152" s="28"/>
      <c r="D152" s="28"/>
      <c r="E152" s="28"/>
      <c r="F152" s="28"/>
      <c r="G152" s="29"/>
      <c r="H152" s="30">
        <f>Quantitativo!AS10</f>
        <v>0</v>
      </c>
      <c r="I152" s="31">
        <f t="shared" si="8"/>
        <v>0</v>
      </c>
    </row>
    <row r="153" spans="2:9" x14ac:dyDescent="0.25">
      <c r="B153" s="28">
        <f>Quantitativo!AP11</f>
        <v>0</v>
      </c>
      <c r="C153" s="28"/>
      <c r="D153" s="28"/>
      <c r="E153" s="28"/>
      <c r="F153" s="28"/>
      <c r="G153" s="29"/>
      <c r="H153" s="30">
        <f>Quantitativo!AS11</f>
        <v>0</v>
      </c>
      <c r="I153" s="31">
        <f t="shared" si="8"/>
        <v>0</v>
      </c>
    </row>
    <row r="154" spans="2:9" x14ac:dyDescent="0.25">
      <c r="B154" s="28">
        <f>Quantitativo!AP12</f>
        <v>0</v>
      </c>
      <c r="C154" s="28"/>
      <c r="D154" s="28"/>
      <c r="E154" s="28"/>
      <c r="F154" s="28"/>
      <c r="G154" s="29"/>
      <c r="H154" s="30">
        <f>Quantitativo!AS12</f>
        <v>0</v>
      </c>
      <c r="I154" s="31">
        <f t="shared" si="8"/>
        <v>0</v>
      </c>
    </row>
    <row r="155" spans="2:9" x14ac:dyDescent="0.25">
      <c r="B155" s="28">
        <f>Quantitativo!AP13</f>
        <v>0</v>
      </c>
      <c r="C155" s="28"/>
      <c r="D155" s="28"/>
      <c r="E155" s="28"/>
      <c r="F155" s="28"/>
      <c r="G155" s="29"/>
      <c r="H155" s="30">
        <f>Quantitativo!AS13</f>
        <v>0</v>
      </c>
      <c r="I155" s="31">
        <f t="shared" si="8"/>
        <v>0</v>
      </c>
    </row>
    <row r="156" spans="2:9" x14ac:dyDescent="0.25">
      <c r="B156" s="28">
        <f>Quantitativo!AP14</f>
        <v>0</v>
      </c>
      <c r="C156" s="28"/>
      <c r="D156" s="28"/>
      <c r="E156" s="28"/>
      <c r="F156" s="28"/>
      <c r="G156" s="29"/>
      <c r="H156" s="30">
        <f>Quantitativo!AS14</f>
        <v>0</v>
      </c>
      <c r="I156" s="31">
        <f t="shared" si="8"/>
        <v>0</v>
      </c>
    </row>
    <row r="157" spans="2:9" x14ac:dyDescent="0.25">
      <c r="B157" s="28">
        <f>Quantitativo!AP15</f>
        <v>0</v>
      </c>
      <c r="C157" s="28"/>
      <c r="D157" s="28"/>
      <c r="E157" s="28"/>
      <c r="F157" s="28"/>
      <c r="G157" s="29"/>
      <c r="H157" s="30">
        <f>Quantitativo!AS15</f>
        <v>0</v>
      </c>
      <c r="I157" s="31">
        <f t="shared" si="8"/>
        <v>0</v>
      </c>
    </row>
    <row r="159" spans="2:9" ht="20.25" x14ac:dyDescent="0.3">
      <c r="B159" s="21"/>
      <c r="C159" s="75" t="s">
        <v>62</v>
      </c>
      <c r="D159" s="75"/>
      <c r="E159" s="15"/>
      <c r="F159" s="15"/>
      <c r="G159" s="15"/>
      <c r="H159" s="15"/>
      <c r="I159" s="22"/>
    </row>
    <row r="160" spans="2:9" x14ac:dyDescent="0.25">
      <c r="B160" s="23" t="s">
        <v>78</v>
      </c>
      <c r="C160" s="24"/>
      <c r="D160" s="24"/>
      <c r="E160" s="24"/>
      <c r="F160" s="24"/>
      <c r="G160" s="25" t="s">
        <v>79</v>
      </c>
      <c r="H160" s="26" t="s">
        <v>80</v>
      </c>
      <c r="I160" s="27" t="s">
        <v>81</v>
      </c>
    </row>
    <row r="161" spans="2:9" x14ac:dyDescent="0.25">
      <c r="B161" s="28">
        <f>Quantitativo!AU3</f>
        <v>0</v>
      </c>
      <c r="C161" s="28"/>
      <c r="D161" s="28"/>
      <c r="E161" s="28"/>
      <c r="F161" s="28"/>
      <c r="G161" s="29"/>
      <c r="H161" s="30">
        <f>Quantitativo!AX3</f>
        <v>0</v>
      </c>
      <c r="I161" s="31">
        <f>G161*H161</f>
        <v>0</v>
      </c>
    </row>
    <row r="162" spans="2:9" x14ac:dyDescent="0.25">
      <c r="B162" s="28">
        <f>Quantitativo!AU4</f>
        <v>0</v>
      </c>
      <c r="C162" s="28"/>
      <c r="D162" s="28"/>
      <c r="E162" s="28"/>
      <c r="F162" s="28"/>
      <c r="G162" s="29"/>
      <c r="H162" s="30">
        <f>Quantitativo!AX4</f>
        <v>0</v>
      </c>
      <c r="I162" s="31">
        <f t="shared" ref="I162:I173" si="9">G162*H162</f>
        <v>0</v>
      </c>
    </row>
    <row r="163" spans="2:9" x14ac:dyDescent="0.25">
      <c r="B163" s="28">
        <f>Quantitativo!AU5</f>
        <v>0</v>
      </c>
      <c r="C163" s="28"/>
      <c r="D163" s="28"/>
      <c r="E163" s="28"/>
      <c r="F163" s="28"/>
      <c r="G163" s="29"/>
      <c r="H163" s="30">
        <f>Quantitativo!AX5</f>
        <v>0</v>
      </c>
      <c r="I163" s="31">
        <f t="shared" si="9"/>
        <v>0</v>
      </c>
    </row>
    <row r="164" spans="2:9" x14ac:dyDescent="0.25">
      <c r="B164" s="28">
        <f>Quantitativo!AU6</f>
        <v>0</v>
      </c>
      <c r="C164" s="28"/>
      <c r="D164" s="28"/>
      <c r="E164" s="28"/>
      <c r="F164" s="28"/>
      <c r="G164" s="29"/>
      <c r="H164" s="30">
        <f>Quantitativo!AX6</f>
        <v>0</v>
      </c>
      <c r="I164" s="31">
        <f t="shared" si="9"/>
        <v>0</v>
      </c>
    </row>
    <row r="165" spans="2:9" x14ac:dyDescent="0.25">
      <c r="B165" s="28">
        <f>Quantitativo!AU7</f>
        <v>0</v>
      </c>
      <c r="C165" s="28"/>
      <c r="D165" s="28"/>
      <c r="E165" s="28"/>
      <c r="F165" s="28"/>
      <c r="G165" s="29"/>
      <c r="H165" s="30">
        <f>Quantitativo!AX7</f>
        <v>0</v>
      </c>
      <c r="I165" s="31">
        <f t="shared" si="9"/>
        <v>0</v>
      </c>
    </row>
    <row r="166" spans="2:9" x14ac:dyDescent="0.25">
      <c r="B166" s="28">
        <f>Quantitativo!AU8</f>
        <v>0</v>
      </c>
      <c r="C166" s="28"/>
      <c r="D166" s="28"/>
      <c r="E166" s="28"/>
      <c r="F166" s="28"/>
      <c r="G166" s="29"/>
      <c r="H166" s="30">
        <f>Quantitativo!AX8</f>
        <v>0</v>
      </c>
      <c r="I166" s="31">
        <f t="shared" si="9"/>
        <v>0</v>
      </c>
    </row>
    <row r="167" spans="2:9" x14ac:dyDescent="0.25">
      <c r="B167" s="28">
        <f>Quantitativo!AU9</f>
        <v>0</v>
      </c>
      <c r="C167" s="28"/>
      <c r="D167" s="28"/>
      <c r="E167" s="28"/>
      <c r="F167" s="28"/>
      <c r="G167" s="29"/>
      <c r="H167" s="30">
        <f>Quantitativo!AX9</f>
        <v>0</v>
      </c>
      <c r="I167" s="31">
        <f t="shared" si="9"/>
        <v>0</v>
      </c>
    </row>
    <row r="168" spans="2:9" x14ac:dyDescent="0.25">
      <c r="B168" s="28">
        <f>Quantitativo!AU10</f>
        <v>0</v>
      </c>
      <c r="C168" s="28"/>
      <c r="D168" s="28"/>
      <c r="E168" s="28"/>
      <c r="F168" s="28"/>
      <c r="G168" s="29"/>
      <c r="H168" s="30">
        <f>Quantitativo!AX10</f>
        <v>0</v>
      </c>
      <c r="I168" s="31">
        <f t="shared" si="9"/>
        <v>0</v>
      </c>
    </row>
    <row r="169" spans="2:9" x14ac:dyDescent="0.25">
      <c r="B169" s="28">
        <f>Quantitativo!AU11</f>
        <v>0</v>
      </c>
      <c r="C169" s="28"/>
      <c r="D169" s="28"/>
      <c r="E169" s="28"/>
      <c r="F169" s="28"/>
      <c r="G169" s="29"/>
      <c r="H169" s="30">
        <f>Quantitativo!AX11</f>
        <v>0</v>
      </c>
      <c r="I169" s="31">
        <f t="shared" si="9"/>
        <v>0</v>
      </c>
    </row>
    <row r="170" spans="2:9" x14ac:dyDescent="0.25">
      <c r="B170" s="28">
        <f>Quantitativo!AU12</f>
        <v>0</v>
      </c>
      <c r="C170" s="28"/>
      <c r="D170" s="28"/>
      <c r="E170" s="28"/>
      <c r="F170" s="28"/>
      <c r="G170" s="29"/>
      <c r="H170" s="30">
        <f>Quantitativo!AX12</f>
        <v>0</v>
      </c>
      <c r="I170" s="31">
        <f t="shared" si="9"/>
        <v>0</v>
      </c>
    </row>
    <row r="171" spans="2:9" x14ac:dyDescent="0.25">
      <c r="B171" s="28">
        <f>Quantitativo!AU13</f>
        <v>0</v>
      </c>
      <c r="C171" s="28"/>
      <c r="D171" s="28"/>
      <c r="E171" s="28"/>
      <c r="F171" s="28"/>
      <c r="G171" s="29"/>
      <c r="H171" s="30">
        <f>Quantitativo!AX13</f>
        <v>0</v>
      </c>
      <c r="I171" s="31">
        <f t="shared" si="9"/>
        <v>0</v>
      </c>
    </row>
    <row r="172" spans="2:9" x14ac:dyDescent="0.25">
      <c r="B172" s="28">
        <f>Quantitativo!AU14</f>
        <v>0</v>
      </c>
      <c r="C172" s="28"/>
      <c r="D172" s="28"/>
      <c r="E172" s="28"/>
      <c r="F172" s="28"/>
      <c r="G172" s="29"/>
      <c r="H172" s="30">
        <f>Quantitativo!AX14</f>
        <v>0</v>
      </c>
      <c r="I172" s="31">
        <f t="shared" si="9"/>
        <v>0</v>
      </c>
    </row>
    <row r="173" spans="2:9" x14ac:dyDescent="0.25">
      <c r="B173" s="28">
        <f>Quantitativo!AU15</f>
        <v>0</v>
      </c>
      <c r="C173" s="28"/>
      <c r="D173" s="28"/>
      <c r="E173" s="28"/>
      <c r="F173" s="28"/>
      <c r="G173" s="29"/>
      <c r="H173" s="30">
        <f>Quantitativo!AX15</f>
        <v>0</v>
      </c>
      <c r="I173" s="31">
        <f t="shared" si="9"/>
        <v>0</v>
      </c>
    </row>
    <row r="175" spans="2:9" ht="18.75" thickBot="1" x14ac:dyDescent="0.3">
      <c r="D175" s="11"/>
      <c r="E175" s="11"/>
      <c r="F175" s="37"/>
      <c r="G175" s="80" t="s">
        <v>82</v>
      </c>
      <c r="H175" s="80"/>
      <c r="I175" s="39">
        <f>SUM(I17:I29)+SUM(I33:I45)+SUM(I49:I61)+SUM(I65:I77)+SUM(I81:I93)+SUM(I81:I93)+SUM(I81:I93)+SUM(I97:I109)+SUM(I113:I125)+SUM(I129:I141)+SUM(I145:I157)+SUM(I161:I173)</f>
        <v>424</v>
      </c>
    </row>
    <row r="176" spans="2:9" x14ac:dyDescent="0.25">
      <c r="E176" s="11"/>
      <c r="F176" s="11"/>
      <c r="G176" s="11"/>
      <c r="H176" s="11"/>
      <c r="I176" s="38"/>
    </row>
    <row r="177" spans="2:9" ht="20.25" x14ac:dyDescent="0.3">
      <c r="B177" s="21"/>
      <c r="C177" s="75" t="s">
        <v>9</v>
      </c>
      <c r="D177" s="75"/>
      <c r="E177" s="15"/>
      <c r="F177" s="15"/>
      <c r="G177" s="15"/>
      <c r="H177" s="15"/>
      <c r="I177" s="22"/>
    </row>
    <row r="178" spans="2:9" x14ac:dyDescent="0.25">
      <c r="B178" s="23"/>
      <c r="C178" s="24"/>
      <c r="D178" s="24"/>
      <c r="E178" s="24"/>
      <c r="F178" s="24"/>
      <c r="G178" s="25"/>
      <c r="H178" s="26"/>
      <c r="I178" s="27"/>
    </row>
    <row r="179" spans="2:9" x14ac:dyDescent="0.25">
      <c r="B179" s="74"/>
      <c r="C179" s="74"/>
      <c r="D179" s="74"/>
      <c r="E179" s="74"/>
      <c r="F179" s="74"/>
      <c r="G179" s="74"/>
      <c r="H179" s="74"/>
      <c r="I179" s="74"/>
    </row>
    <row r="180" spans="2:9" x14ac:dyDescent="0.25">
      <c r="B180" s="74"/>
      <c r="C180" s="74"/>
      <c r="D180" s="74"/>
      <c r="E180" s="74"/>
      <c r="F180" s="74"/>
      <c r="G180" s="74"/>
      <c r="H180" s="74"/>
      <c r="I180" s="74"/>
    </row>
    <row r="181" spans="2:9" x14ac:dyDescent="0.25">
      <c r="B181" s="74"/>
      <c r="C181" s="74"/>
      <c r="D181" s="74"/>
      <c r="E181" s="74"/>
      <c r="F181" s="74"/>
      <c r="G181" s="74"/>
      <c r="H181" s="74"/>
      <c r="I181" s="74"/>
    </row>
    <row r="182" spans="2:9" x14ac:dyDescent="0.25">
      <c r="B182" s="74"/>
      <c r="C182" s="74"/>
      <c r="D182" s="74"/>
      <c r="E182" s="74"/>
      <c r="F182" s="74"/>
      <c r="G182" s="74"/>
      <c r="H182" s="74"/>
      <c r="I182" s="74"/>
    </row>
    <row r="183" spans="2:9" x14ac:dyDescent="0.25">
      <c r="B183" s="74"/>
      <c r="C183" s="74"/>
      <c r="D183" s="74"/>
      <c r="E183" s="74"/>
      <c r="F183" s="74"/>
      <c r="G183" s="74"/>
      <c r="H183" s="74"/>
      <c r="I183" s="74"/>
    </row>
    <row r="186" spans="2:9" x14ac:dyDescent="0.25">
      <c r="B186" t="s">
        <v>104</v>
      </c>
      <c r="D186" t="s">
        <v>105</v>
      </c>
    </row>
    <row r="187" spans="2:9" x14ac:dyDescent="0.25">
      <c r="B187" t="str">
        <f>C15</f>
        <v>TUG</v>
      </c>
      <c r="D187" s="50">
        <f>SUM(I17:I29)</f>
        <v>80</v>
      </c>
    </row>
    <row r="188" spans="2:9" x14ac:dyDescent="0.25">
      <c r="B188" t="str">
        <f>C31</f>
        <v>TUE</v>
      </c>
      <c r="D188" s="50">
        <f>SUM(I33:I45)</f>
        <v>20</v>
      </c>
    </row>
    <row r="189" spans="2:9" x14ac:dyDescent="0.25">
      <c r="B189" t="str">
        <f>C47</f>
        <v>Interruptores</v>
      </c>
      <c r="D189" s="50">
        <f>SUM(I49:I61)</f>
        <v>84</v>
      </c>
    </row>
    <row r="190" spans="2:9" x14ac:dyDescent="0.25">
      <c r="B190" t="str">
        <f>C63</f>
        <v>Luminárias</v>
      </c>
      <c r="D190" s="50">
        <f>SUM(I65:I77)</f>
        <v>240</v>
      </c>
    </row>
    <row r="191" spans="2:9" x14ac:dyDescent="0.25">
      <c r="B191" t="str">
        <f>C79</f>
        <v>Condutores</v>
      </c>
      <c r="D191" s="50">
        <f>SUM(I81:I93)</f>
        <v>0</v>
      </c>
    </row>
    <row r="192" spans="2:9" x14ac:dyDescent="0.25">
      <c r="B192" t="str">
        <f>C95</f>
        <v>Eletrodutos</v>
      </c>
      <c r="D192" s="50">
        <f>SUM(I97:I109)</f>
        <v>0</v>
      </c>
    </row>
    <row r="193" spans="2:4" x14ac:dyDescent="0.25">
      <c r="B193" t="str">
        <f>C111</f>
        <v>Caixa de passagem</v>
      </c>
      <c r="D193" s="50">
        <f>SUM(I113:I125)</f>
        <v>0</v>
      </c>
    </row>
    <row r="194" spans="2:4" x14ac:dyDescent="0.25">
      <c r="B194" t="str">
        <f>C127</f>
        <v>Proteção</v>
      </c>
      <c r="D194" s="50">
        <f>SUM(I129:I141)</f>
        <v>0</v>
      </c>
    </row>
    <row r="195" spans="2:4" x14ac:dyDescent="0.25">
      <c r="B195" t="str">
        <f>C143</f>
        <v>QD e padrão de entrada</v>
      </c>
      <c r="D195" s="50">
        <f>SUM(I145:I157)</f>
        <v>0</v>
      </c>
    </row>
    <row r="196" spans="2:4" x14ac:dyDescent="0.25">
      <c r="B196" t="str">
        <f>C159</f>
        <v>Outros</v>
      </c>
      <c r="D196" s="50">
        <f>SUM(I161:I173)</f>
        <v>0</v>
      </c>
    </row>
    <row r="207" spans="2:4" x14ac:dyDescent="0.25">
      <c r="B207" t="s">
        <v>90</v>
      </c>
    </row>
    <row r="208" spans="2:4" x14ac:dyDescent="0.25">
      <c r="B208" s="40" t="s">
        <v>88</v>
      </c>
    </row>
  </sheetData>
  <mergeCells count="16">
    <mergeCell ref="B179:I183"/>
    <mergeCell ref="C31:D31"/>
    <mergeCell ref="C47:D47"/>
    <mergeCell ref="B2:E2"/>
    <mergeCell ref="B5:C5"/>
    <mergeCell ref="B6:H7"/>
    <mergeCell ref="C15:D15"/>
    <mergeCell ref="G175:H175"/>
    <mergeCell ref="C177:D177"/>
    <mergeCell ref="C159:D159"/>
    <mergeCell ref="C63:D63"/>
    <mergeCell ref="C79:D79"/>
    <mergeCell ref="C95:D95"/>
    <mergeCell ref="C111:D111"/>
    <mergeCell ref="C127:D127"/>
    <mergeCell ref="C143:D14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CB46-66F1-43FA-94F4-CB590EB7C029}">
  <sheetPr codeName="Planilha7"/>
  <dimension ref="B1:W20"/>
  <sheetViews>
    <sheetView tabSelected="1" workbookViewId="0">
      <selection activeCell="W4" sqref="W4"/>
    </sheetView>
  </sheetViews>
  <sheetFormatPr defaultRowHeight="15" x14ac:dyDescent="0.25"/>
  <cols>
    <col min="2" max="2" width="18" bestFit="1" customWidth="1"/>
    <col min="3" max="3" width="21.140625" bestFit="1" customWidth="1"/>
    <col min="4" max="4" width="21.85546875" bestFit="1" customWidth="1"/>
    <col min="5" max="5" width="43.28515625" bestFit="1" customWidth="1"/>
    <col min="6" max="6" width="18" bestFit="1" customWidth="1"/>
    <col min="7" max="7" width="20.140625" bestFit="1" customWidth="1"/>
    <col min="11" max="11" width="9.140625" customWidth="1"/>
    <col min="13" max="13" width="10.5703125" bestFit="1" customWidth="1"/>
    <col min="15" max="15" width="11.5703125" bestFit="1" customWidth="1"/>
    <col min="19" max="19" width="16.5703125" bestFit="1" customWidth="1"/>
    <col min="21" max="21" width="15.28515625" customWidth="1"/>
    <col min="23" max="23" width="11.28515625" bestFit="1" customWidth="1"/>
  </cols>
  <sheetData>
    <row r="1" spans="2:23" x14ac:dyDescent="0.25">
      <c r="B1" s="81" t="s">
        <v>22</v>
      </c>
      <c r="C1" s="81"/>
      <c r="D1" s="81"/>
      <c r="E1" s="81"/>
      <c r="F1" s="81" t="s">
        <v>23</v>
      </c>
      <c r="G1" s="81"/>
      <c r="I1" s="3" t="s">
        <v>33</v>
      </c>
      <c r="K1" s="3" t="s">
        <v>69</v>
      </c>
      <c r="M1" s="3" t="s">
        <v>110</v>
      </c>
      <c r="O1" s="3" t="s">
        <v>120</v>
      </c>
      <c r="Q1" s="59" t="s">
        <v>123</v>
      </c>
      <c r="S1" s="59" t="s">
        <v>130</v>
      </c>
      <c r="U1" s="67" t="s">
        <v>145</v>
      </c>
      <c r="W1" s="67" t="s">
        <v>148</v>
      </c>
    </row>
    <row r="2" spans="2:23" x14ac:dyDescent="0.25">
      <c r="B2" s="1" t="s">
        <v>1</v>
      </c>
      <c r="C2" s="1" t="s">
        <v>15</v>
      </c>
      <c r="D2" s="1" t="s">
        <v>10</v>
      </c>
      <c r="E2" s="1" t="s">
        <v>9</v>
      </c>
      <c r="F2" s="1" t="s">
        <v>20</v>
      </c>
      <c r="G2" s="1" t="s">
        <v>21</v>
      </c>
      <c r="H2" s="1"/>
      <c r="I2" t="s">
        <v>28</v>
      </c>
      <c r="K2">
        <v>220</v>
      </c>
      <c r="M2" s="1" t="s">
        <v>111</v>
      </c>
      <c r="N2" s="1"/>
      <c r="O2" s="1" t="s">
        <v>121</v>
      </c>
      <c r="P2" s="1"/>
      <c r="Q2" s="1" t="s">
        <v>124</v>
      </c>
      <c r="S2" s="1">
        <v>2</v>
      </c>
      <c r="U2" s="68">
        <v>1.7850000000000001E-2</v>
      </c>
      <c r="W2">
        <v>5</v>
      </c>
    </row>
    <row r="3" spans="2:23" x14ac:dyDescent="0.25">
      <c r="B3" t="s">
        <v>2</v>
      </c>
      <c r="D3" s="1">
        <v>1</v>
      </c>
      <c r="E3" t="s">
        <v>13</v>
      </c>
      <c r="F3">
        <v>1</v>
      </c>
      <c r="I3" t="s">
        <v>29</v>
      </c>
      <c r="K3">
        <v>127</v>
      </c>
      <c r="M3" s="1" t="s">
        <v>112</v>
      </c>
      <c r="N3" s="1"/>
      <c r="O3" s="1" t="s">
        <v>122</v>
      </c>
      <c r="P3" s="1"/>
      <c r="Q3" s="1" t="s">
        <v>125</v>
      </c>
      <c r="S3" s="1">
        <v>3</v>
      </c>
      <c r="W3">
        <v>7</v>
      </c>
    </row>
    <row r="4" spans="2:23" x14ac:dyDescent="0.25">
      <c r="B4" t="s">
        <v>3</v>
      </c>
      <c r="C4">
        <v>3.5</v>
      </c>
      <c r="D4" s="1"/>
      <c r="E4" t="s">
        <v>12</v>
      </c>
      <c r="F4">
        <v>3</v>
      </c>
      <c r="G4" t="s">
        <v>30</v>
      </c>
      <c r="M4" s="1" t="s">
        <v>113</v>
      </c>
      <c r="N4" s="1"/>
      <c r="O4" s="1"/>
      <c r="P4" s="1"/>
      <c r="Q4" s="1" t="s">
        <v>126</v>
      </c>
    </row>
    <row r="5" spans="2:23" x14ac:dyDescent="0.25">
      <c r="B5" t="s">
        <v>4</v>
      </c>
      <c r="D5" s="1">
        <v>1</v>
      </c>
      <c r="E5" t="s">
        <v>11</v>
      </c>
      <c r="M5" s="1" t="s">
        <v>114</v>
      </c>
      <c r="N5" s="1"/>
      <c r="O5" s="1"/>
      <c r="P5" s="1"/>
      <c r="Q5" s="1" t="s">
        <v>127</v>
      </c>
    </row>
    <row r="6" spans="2:23" x14ac:dyDescent="0.25">
      <c r="B6" t="s">
        <v>5</v>
      </c>
      <c r="C6">
        <v>5</v>
      </c>
      <c r="D6" s="1"/>
      <c r="E6" t="s">
        <v>31</v>
      </c>
      <c r="M6" s="1" t="s">
        <v>115</v>
      </c>
      <c r="N6" s="1"/>
      <c r="O6" s="1"/>
      <c r="P6" s="1"/>
      <c r="Q6" s="1"/>
    </row>
    <row r="7" spans="2:23" x14ac:dyDescent="0.25">
      <c r="B7" t="s">
        <v>6</v>
      </c>
      <c r="D7" s="1">
        <v>1</v>
      </c>
      <c r="E7" t="s">
        <v>14</v>
      </c>
      <c r="M7" s="1" t="s">
        <v>119</v>
      </c>
      <c r="N7" s="1"/>
      <c r="O7" s="1"/>
      <c r="P7" s="1"/>
      <c r="Q7" s="1"/>
    </row>
    <row r="8" spans="2:23" x14ac:dyDescent="0.25">
      <c r="B8" t="s">
        <v>7</v>
      </c>
      <c r="D8" s="1">
        <v>1</v>
      </c>
      <c r="M8" s="1" t="s">
        <v>116</v>
      </c>
      <c r="N8" s="1"/>
      <c r="O8" s="1"/>
      <c r="P8" s="1"/>
      <c r="Q8" s="1"/>
    </row>
    <row r="9" spans="2:23" x14ac:dyDescent="0.25">
      <c r="B9" t="s">
        <v>8</v>
      </c>
      <c r="C9">
        <v>5</v>
      </c>
      <c r="D9" s="1"/>
      <c r="M9" s="1" t="s">
        <v>117</v>
      </c>
      <c r="N9" s="1"/>
      <c r="O9" s="1"/>
      <c r="P9" s="1"/>
      <c r="Q9" s="1"/>
    </row>
    <row r="10" spans="2:23" x14ac:dyDescent="0.25">
      <c r="B10" t="s">
        <v>26</v>
      </c>
      <c r="D10" s="1">
        <v>0</v>
      </c>
      <c r="M10" s="1" t="s">
        <v>118</v>
      </c>
      <c r="N10" s="1"/>
      <c r="O10" s="1"/>
      <c r="P10" s="1"/>
      <c r="Q10" s="1"/>
    </row>
    <row r="11" spans="2:23" x14ac:dyDescent="0.25">
      <c r="B11" t="s">
        <v>34</v>
      </c>
      <c r="D11" s="1">
        <v>1</v>
      </c>
      <c r="M11" s="1"/>
      <c r="N11" s="1"/>
      <c r="O11" s="1"/>
      <c r="P11" s="1"/>
      <c r="Q11" s="1"/>
    </row>
    <row r="12" spans="2:23" x14ac:dyDescent="0.25">
      <c r="M12" s="1"/>
      <c r="N12" s="1"/>
      <c r="O12" s="1"/>
      <c r="P12" s="1"/>
      <c r="Q12" s="1"/>
    </row>
    <row r="17" spans="2:7" x14ac:dyDescent="0.25">
      <c r="B17" s="42" t="s">
        <v>97</v>
      </c>
      <c r="C17" t="s">
        <v>101</v>
      </c>
      <c r="F17" s="42" t="s">
        <v>97</v>
      </c>
      <c r="G17" t="s">
        <v>102</v>
      </c>
    </row>
    <row r="18" spans="2:7" x14ac:dyDescent="0.25">
      <c r="B18" s="41">
        <v>3</v>
      </c>
      <c r="C18" s="82">
        <v>1800</v>
      </c>
      <c r="F18" s="41">
        <v>5</v>
      </c>
      <c r="G18" s="82">
        <v>280</v>
      </c>
    </row>
    <row r="19" spans="2:7" x14ac:dyDescent="0.25">
      <c r="B19" s="41">
        <v>4</v>
      </c>
      <c r="C19" s="82">
        <v>1000</v>
      </c>
      <c r="F19" s="41">
        <v>6</v>
      </c>
      <c r="G19" s="82">
        <v>380</v>
      </c>
    </row>
    <row r="20" spans="2:7" x14ac:dyDescent="0.25">
      <c r="B20" s="41" t="s">
        <v>98</v>
      </c>
      <c r="C20" s="82">
        <v>0</v>
      </c>
      <c r="F20" s="41" t="s">
        <v>98</v>
      </c>
      <c r="G20" s="82">
        <v>0</v>
      </c>
    </row>
  </sheetData>
  <mergeCells count="2">
    <mergeCell ref="B1:E1"/>
    <mergeCell ref="F1:G1"/>
  </mergeCells>
  <phoneticPr fontId="1" type="noConversion"/>
  <pageMargins left="0.511811024" right="0.511811024" top="0.78740157499999996" bottom="0.78740157499999996" header="0.31496062000000002" footer="0.3149606200000000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Dimensionamento cômodos</vt:lpstr>
      <vt:lpstr>Div. ckts</vt:lpstr>
      <vt:lpstr>Condutores</vt:lpstr>
      <vt:lpstr>Proteção</vt:lpstr>
      <vt:lpstr>Padrão de entrada</vt:lpstr>
      <vt:lpstr>Quantitativo</vt:lpstr>
      <vt:lpstr>Orçamento</vt:lpstr>
      <vt:lpstr>Sistema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Wilknis Deyvis</dc:creator>
  <cp:lastModifiedBy>Wilknis Deyvis</cp:lastModifiedBy>
  <dcterms:created xsi:type="dcterms:W3CDTF">2015-06-05T18:19:34Z</dcterms:created>
  <dcterms:modified xsi:type="dcterms:W3CDTF">2022-12-18T01:20:33Z</dcterms:modified>
</cp:coreProperties>
</file>